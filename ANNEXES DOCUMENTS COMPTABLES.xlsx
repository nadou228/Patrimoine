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MEGANDJIN\Desktop\Patrimoine\"/>
    </mc:Choice>
  </mc:AlternateContent>
  <xr:revisionPtr revIDLastSave="0" documentId="13_ncr:1_{22C58F29-6509-439A-9060-48D7C0BAEA94}" xr6:coauthVersionLast="47" xr6:coauthVersionMax="47" xr10:uidLastSave="{00000000-0000-0000-0000-000000000000}"/>
  <bookViews>
    <workbookView xWindow="-120" yWindow="-120" windowWidth="24240" windowHeight="13140" firstSheet="7" activeTab="7" xr2:uid="{00000000-000D-0000-FFFF-FFFF00000000}"/>
  </bookViews>
  <sheets>
    <sheet name="OEM" sheetId="1" r:id="rId1"/>
    <sheet name="OEM2" sheetId="38" r:id="rId2"/>
    <sheet name="BMM" sheetId="17" r:id="rId3"/>
    <sheet name="OSM" sheetId="2" r:id="rId4"/>
    <sheet name="BMC" sheetId="30" r:id="rId5"/>
    <sheet name="BAM" sheetId="3" r:id="rId6"/>
    <sheet name="BST" sheetId="29" r:id="rId7"/>
    <sheet name="LJ (2)" sheetId="12" r:id="rId8"/>
    <sheet name="LJ " sheetId="31" r:id="rId9"/>
    <sheet name="GL (1)" sheetId="24" r:id="rId10"/>
    <sheet name="GL (2)" sheetId="32" r:id="rId11"/>
    <sheet name="FS (1)" sheetId="33" r:id="rId12"/>
    <sheet name="FS (2)" sheetId="13" r:id="rId13"/>
    <sheet name="CGM" sheetId="18" r:id="rId14"/>
    <sheet name="CCM (2)" sheetId="26" r:id="rId15"/>
    <sheet name="BGC" sheetId="27" r:id="rId16"/>
    <sheet name="FDM" sheetId="23" r:id="rId17"/>
    <sheet name="FIA" sheetId="19" r:id="rId18"/>
    <sheet name="FIMS" sheetId="11" r:id="rId19"/>
    <sheet name="FUM" sheetId="20" r:id="rId20"/>
    <sheet name="FIB" sheetId="16" r:id="rId21"/>
    <sheet name="SB" sheetId="35" r:id="rId22"/>
    <sheet name="ST" sheetId="21" r:id="rId23"/>
    <sheet name="PVREFO" sheetId="22" r:id="rId24"/>
    <sheet name="BPB" sheetId="37" r:id="rId25"/>
  </sheets>
  <externalReferences>
    <externalReference r:id="rId26"/>
  </externalReferences>
  <definedNames>
    <definedName name="_ftn1" localSheetId="20">FIB!$A$16</definedName>
    <definedName name="_ftn2" localSheetId="20">FIB!$A$17</definedName>
    <definedName name="_ftnref1" localSheetId="20">FIB!$D$1</definedName>
    <definedName name="_ftnref2" localSheetId="20">FIB!$E$1</definedName>
    <definedName name="Bureau" localSheetId="20">'[1]SITUATION DES BATIMENTS 2'!$A$33:$A$35</definedName>
    <definedName name="compo" localSheetId="20">'[1]SITUATION DES BATIMENTS 2'!$A$43:$A$51</definedName>
    <definedName name="origine2" localSheetId="20">'[1]SITUATION DES BATIMENTS 2'!$A$37:$A$41</definedName>
    <definedName name="terrains">[1]TERRAINS!$A$106:$A$111</definedName>
    <definedName name="TYPE" localSheetId="20">'[1]SITUATION DES BATIMENTS 2'!$A$26:$A$28</definedName>
    <definedName name="_xlnm.Print_Area" localSheetId="0">OEM!$A$1:$R$67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38" l="1"/>
  <c r="I16" i="38"/>
  <c r="I18" i="38" l="1"/>
  <c r="I17" i="1" l="1"/>
  <c r="I16" i="1"/>
  <c r="M20" i="32"/>
  <c r="M19" i="32"/>
  <c r="M18" i="32"/>
  <c r="M16" i="32"/>
  <c r="M17" i="32"/>
  <c r="G24" i="27" l="1"/>
</calcChain>
</file>

<file path=xl/sharedStrings.xml><?xml version="1.0" encoding="utf-8"?>
<sst xmlns="http://schemas.openxmlformats.org/spreadsheetml/2006/main" count="650" uniqueCount="313">
  <si>
    <t>REFERENCE DES PIECES</t>
  </si>
  <si>
    <t>BL</t>
  </si>
  <si>
    <t>CONTRAT</t>
  </si>
  <si>
    <t>PV DE RECEPTION</t>
  </si>
  <si>
    <t>SOURCE DE FINANCEMENT</t>
  </si>
  <si>
    <t>MODE D'ACQUISITION</t>
  </si>
  <si>
    <t>Compte matière</t>
  </si>
  <si>
    <t>Type de bien</t>
  </si>
  <si>
    <t>Marque ou Race</t>
  </si>
  <si>
    <t>Quantité</t>
  </si>
  <si>
    <t>Désignation</t>
  </si>
  <si>
    <t>Prix Unitaire (FCFA)</t>
  </si>
  <si>
    <t>Montant (FCFA)</t>
  </si>
  <si>
    <t>Observations</t>
  </si>
  <si>
    <t>OBSERVATION</t>
  </si>
  <si>
    <t>Le Comptable Principal des Matières</t>
  </si>
  <si>
    <t>ORDRE D'ENTREE DE MATIERES N°…………... Du</t>
  </si>
  <si>
    <t>L'Ordonnateur Principal des matières</t>
  </si>
  <si>
    <t>ORIGINE</t>
  </si>
  <si>
    <t>DESTINATION</t>
  </si>
  <si>
    <t>Designation</t>
  </si>
  <si>
    <t>Valeur</t>
  </si>
  <si>
    <t>Etat</t>
  </si>
  <si>
    <t>ORDRE DE SORTIE DE MATIERES N°…………... DU</t>
  </si>
  <si>
    <t>Magasin:……………………………</t>
  </si>
  <si>
    <t>Détenteur:…………………………………</t>
  </si>
  <si>
    <t>N° d'ordre</t>
  </si>
  <si>
    <t>Date</t>
  </si>
  <si>
    <t>Matière</t>
  </si>
  <si>
    <t>Entrée</t>
  </si>
  <si>
    <t>Sortie</t>
  </si>
  <si>
    <t>Pièces justificatives</t>
  </si>
  <si>
    <t>FOURNISSEUR: ……………………………………………………………..</t>
  </si>
  <si>
    <t>Solde</t>
  </si>
  <si>
    <t>Unitaire</t>
  </si>
  <si>
    <t>REPUBLIQUE TOGOLAISE</t>
  </si>
  <si>
    <t>PU</t>
  </si>
  <si>
    <t>Qté</t>
  </si>
  <si>
    <t>FICHE DE STOCK DES IMMOBILISATIONS</t>
  </si>
  <si>
    <t>Stock</t>
  </si>
  <si>
    <t>Solde final</t>
  </si>
  <si>
    <t>N°</t>
  </si>
  <si>
    <t>PCE</t>
  </si>
  <si>
    <t>Entées</t>
  </si>
  <si>
    <t>Amortissement/dépréciation de l'année</t>
  </si>
  <si>
    <t>Le Comptable Central des Matières</t>
  </si>
  <si>
    <t xml:space="preserve">Sous Compte </t>
  </si>
  <si>
    <t>Report solde</t>
  </si>
  <si>
    <t>Mouvement de la période</t>
  </si>
  <si>
    <t>Solde de cloture  au 31/12/20</t>
  </si>
  <si>
    <t xml:space="preserve">Désignation des matières </t>
  </si>
  <si>
    <t>Compte 222: Sous-sols, Gisements et carrières</t>
  </si>
  <si>
    <t>Sous totaux</t>
  </si>
  <si>
    <t>Travail-Liberté-Patrie</t>
  </si>
  <si>
    <t>DESIGNATION</t>
  </si>
  <si>
    <t>QUANTITE</t>
  </si>
  <si>
    <t>UNITE</t>
  </si>
  <si>
    <t>ENTREE</t>
  </si>
  <si>
    <t>SORTIE</t>
  </si>
  <si>
    <t>Le Détenteur</t>
  </si>
  <si>
    <t>OBSERVATIONS</t>
  </si>
  <si>
    <t>Unité</t>
  </si>
  <si>
    <t>Nom et Prénoms</t>
  </si>
  <si>
    <t>Le Magasinier-Fichiste</t>
  </si>
  <si>
    <t>Nature de la sortie :</t>
  </si>
  <si>
    <t xml:space="preserve">          Nom et prénoms</t>
  </si>
  <si>
    <t xml:space="preserve">        Nom et prénoms</t>
  </si>
  <si>
    <t>Magasin:/Détenteur……………………………</t>
  </si>
  <si>
    <t>Exercice Budgétaire:………..</t>
  </si>
  <si>
    <t xml:space="preserve">                    Nom et Prénoms</t>
  </si>
  <si>
    <t xml:space="preserve">                Nom et Prénoms</t>
  </si>
  <si>
    <t xml:space="preserve"> LIVRE JOURNAL DES FOURNITURES ET CONSOMMABLES "B"</t>
  </si>
  <si>
    <t>Pièces Justificatives</t>
  </si>
  <si>
    <t>BORDEREAU DE MISE EN CONSOMMATION DES MATIERES N°…………... DU</t>
  </si>
  <si>
    <t xml:space="preserve">          Le Détenteur B</t>
  </si>
  <si>
    <t>Détenteur A……………………………</t>
  </si>
  <si>
    <t>Détenteur: B…………………………………</t>
  </si>
  <si>
    <t>BORDEREAU DE MUTATION DES MATIERES N°…………... DU</t>
  </si>
  <si>
    <t>Code matricule des matières</t>
  </si>
  <si>
    <t>Marque/Type</t>
  </si>
  <si>
    <t>Eta t(1)</t>
  </si>
  <si>
    <t>Format (2)</t>
  </si>
  <si>
    <t>Date d'acquisition</t>
  </si>
  <si>
    <t>Service  ou bureau d'utilisation</t>
  </si>
  <si>
    <t>Nom de l'utilisateur</t>
  </si>
  <si>
    <t>Membre de l'équipe de l'inventaire</t>
  </si>
  <si>
    <t>Nom et Prénoms, signature et Date</t>
  </si>
  <si>
    <t>Etat (1) : BON/ PASSABLE/EN PANNE</t>
  </si>
  <si>
    <t>Format (2) : GRAND/MOYEN/PETIT/STANDARD</t>
  </si>
  <si>
    <t>Coût d'acquisition</t>
  </si>
  <si>
    <t>Nom et Prénoms Signature et date</t>
  </si>
  <si>
    <t xml:space="preserve">L'Ordonnateur Principal des Matières </t>
  </si>
  <si>
    <t>Nom et Prénoms, date et siganture</t>
  </si>
  <si>
    <t>COMPTE DE GESTION DES MATIERES</t>
  </si>
  <si>
    <t>Compte</t>
  </si>
  <si>
    <t>Solde de clôture au 31/12/…..</t>
  </si>
  <si>
    <t>Inventaire physique</t>
  </si>
  <si>
    <t>Matières en stock</t>
  </si>
  <si>
    <t>Matières en service</t>
  </si>
  <si>
    <t>Matières en sortie temporaire</t>
  </si>
  <si>
    <t>Total stock réel</t>
  </si>
  <si>
    <t>Stock total en écriture</t>
  </si>
  <si>
    <t>Ecart entre réel et écriture</t>
  </si>
  <si>
    <t>Qté en moins</t>
  </si>
  <si>
    <t>Qté en plus</t>
  </si>
  <si>
    <t>Valeur en moins</t>
  </si>
  <si>
    <t>Valeur en plus</t>
  </si>
  <si>
    <t>Codes matricule des matières</t>
  </si>
  <si>
    <t>Caractéristique</t>
  </si>
  <si>
    <t>Marque /Type</t>
  </si>
  <si>
    <t xml:space="preserve">TYPE D'IMMEUBLE </t>
  </si>
  <si>
    <t xml:space="preserve">USAGE </t>
  </si>
  <si>
    <t>NOMBRE DE NIVEAU</t>
  </si>
  <si>
    <t xml:space="preserve">COMPOSITION </t>
  </si>
  <si>
    <t>SUPERFICIE DU TERRAIN</t>
  </si>
  <si>
    <t>SUPERFICIE BATIE</t>
  </si>
  <si>
    <t xml:space="preserve">OCCUPANT </t>
  </si>
  <si>
    <t>NOMBRE</t>
  </si>
  <si>
    <t xml:space="preserve">ORIGINE </t>
  </si>
  <si>
    <t>N° DE PARCELLE</t>
  </si>
  <si>
    <t>DATE D'ACQUISITION OU CONSTRUCTION</t>
  </si>
  <si>
    <t>COUT OU VALEUR (FCFA)</t>
  </si>
  <si>
    <t xml:space="preserve"> DESCRIPTIONS/OBSERVATIONS </t>
  </si>
  <si>
    <t>MODIFICATIONS OU GROSSES REPARATIONS</t>
  </si>
  <si>
    <t xml:space="preserve">DATE </t>
  </si>
  <si>
    <t xml:space="preserve">COÛT </t>
  </si>
  <si>
    <t>PHOTO DU BATIMENT</t>
  </si>
  <si>
    <t>NATURE  (1)</t>
  </si>
  <si>
    <t>ETAT (2)</t>
  </si>
  <si>
    <t>MATERIAUX DE CONSTRUCTION (4)</t>
  </si>
  <si>
    <t>LOCALISATION (3)</t>
  </si>
  <si>
    <t>N°ORDRE</t>
  </si>
  <si>
    <t>LOCALISATION  (2)</t>
  </si>
  <si>
    <t>SUPERFICIE</t>
  </si>
  <si>
    <t>OBSERVATIONS ET DESCRIPTIONS (3)</t>
  </si>
  <si>
    <t>REFERENCE DU TITRE FONCIER</t>
  </si>
  <si>
    <t>REFERENCE DE L'ACTE D4AFFECTATION</t>
  </si>
  <si>
    <t>TYPE DE TERRAIN  (1)</t>
  </si>
  <si>
    <t xml:space="preserve">PROCES VERBAL DE REFORME DES MATIERES N°…………….
</t>
  </si>
  <si>
    <t xml:space="preserve">A vendre </t>
  </si>
  <si>
    <t>A exposer dans un mussée</t>
  </si>
  <si>
    <t>A détruire ou à démolir</t>
  </si>
  <si>
    <t>A redéployer</t>
  </si>
  <si>
    <t>Nom et Prénoms des membres de la commission de réforme</t>
  </si>
  <si>
    <t>Date et émargement</t>
  </si>
  <si>
    <t xml:space="preserve">FICHE DETENTEUR  DES MATIERES  N°…………….
</t>
  </si>
  <si>
    <t>MINISTERE/INSTITUTION</t>
  </si>
  <si>
    <t>L'Ordonnateur des matières</t>
  </si>
  <si>
    <t xml:space="preserve">                  Le Comptable des Matières</t>
  </si>
  <si>
    <t>MINISTERE/INSTITUTION                                                                                                                                                                                    POSTE COMPTABLE DE……………</t>
  </si>
  <si>
    <t>Le Comptable des Matières</t>
  </si>
  <si>
    <t>Le Détenteur A</t>
  </si>
  <si>
    <t xml:space="preserve">    Nom et Prénoms</t>
  </si>
  <si>
    <t>Le Comptable des matières</t>
  </si>
  <si>
    <t>POSTE COMPTABLE : ……………</t>
  </si>
  <si>
    <t>Coût unitaire</t>
  </si>
  <si>
    <t xml:space="preserve">                         L'Ordonnateur des matières</t>
  </si>
  <si>
    <t xml:space="preserve">             Nom et Prénoms</t>
  </si>
  <si>
    <t xml:space="preserve">               Nom et Prénoms</t>
  </si>
  <si>
    <t xml:space="preserve">                                     Le comptable des matières</t>
  </si>
  <si>
    <t xml:space="preserve">Compte matière: </t>
  </si>
  <si>
    <t>Compte matière:</t>
  </si>
  <si>
    <t>GRAND LIVRE DES FOURNITURES ET CONSOMMABLES ' B '</t>
  </si>
  <si>
    <t xml:space="preserve">                                           Le Magasinier Fichiste</t>
  </si>
  <si>
    <t xml:space="preserve">                                                 Nom et Prénoms</t>
  </si>
  <si>
    <t xml:space="preserve">                   Code Matière :</t>
  </si>
  <si>
    <t xml:space="preserve">                   Désignation Matière :</t>
  </si>
  <si>
    <t xml:space="preserve">                             Unité :</t>
  </si>
  <si>
    <t xml:space="preserve">                      Exercice Budgétaire : ………..</t>
  </si>
  <si>
    <t xml:space="preserve">Compte d'imputation budgétaire : </t>
  </si>
  <si>
    <t>Compte d'imputation budgétaire :</t>
  </si>
  <si>
    <t>POSTE COMPTABLE DE : ……………..</t>
  </si>
  <si>
    <t>COMPTE CENTRAL DES MATIERES AU………………………</t>
  </si>
  <si>
    <t>Existant au 31/12/….</t>
  </si>
  <si>
    <t>Existant au 01/01/….</t>
  </si>
  <si>
    <t>IMMOBILISATIONS INCORPORELLES</t>
  </si>
  <si>
    <t>IMMOBILISATIONS CORPORELLES</t>
  </si>
  <si>
    <t>BALANCE GENERALE DES COMPTES AU ……………..</t>
  </si>
  <si>
    <t>Nom et prénoms et signature</t>
  </si>
  <si>
    <t xml:space="preserve"> </t>
  </si>
  <si>
    <t>FICHE D'INVENTAIRE ANNUEL N°…………….DU</t>
  </si>
  <si>
    <t>Le Détenteur des matières                                    L'utilisateur final des matières</t>
  </si>
  <si>
    <t>Membres de l'équipe d'inventaire</t>
  </si>
  <si>
    <t>N° ORDRE</t>
  </si>
  <si>
    <t>date et signatures</t>
  </si>
  <si>
    <t>TOTAL</t>
  </si>
  <si>
    <t>Mouvement</t>
  </si>
  <si>
    <t>Retour</t>
  </si>
  <si>
    <t>Le cédant temporaire</t>
  </si>
  <si>
    <t>L'ordonnateur des matières</t>
  </si>
  <si>
    <t>Le bénéficiare temporaire</t>
  </si>
  <si>
    <t>Utilisateur final:…………………………………</t>
  </si>
  <si>
    <t xml:space="preserve">               REPUBLIQUE TOGOLAISE</t>
  </si>
  <si>
    <t xml:space="preserve">                  Travail-Liberté-Patrie</t>
  </si>
  <si>
    <t>Nombre Total de la matière</t>
  </si>
  <si>
    <t xml:space="preserve">   Le magasinier-fichiste                                        Le Bénéficiaire                                 </t>
  </si>
  <si>
    <t>Le comptable des matières</t>
  </si>
  <si>
    <t>Nom et prénoms</t>
  </si>
  <si>
    <t>Valeur (FCFA)</t>
  </si>
  <si>
    <t>Compte matières</t>
  </si>
  <si>
    <t>Amortissement</t>
  </si>
  <si>
    <t>O/N</t>
  </si>
  <si>
    <t>Taux</t>
  </si>
  <si>
    <t xml:space="preserve">          REPUBLIQUE TOGOLAISE                                                                                                                                                                                              Exercice budgétaire………..</t>
  </si>
  <si>
    <t xml:space="preserve">              Travail-Liberté-Patrie</t>
  </si>
  <si>
    <t>Exercice Budgétaire…………….</t>
  </si>
  <si>
    <t xml:space="preserve">Etat </t>
  </si>
  <si>
    <t>Travail-Liberté-patrie</t>
  </si>
  <si>
    <t>Exercice budgétaire………………..</t>
  </si>
  <si>
    <t>Nombre total de la matière</t>
  </si>
  <si>
    <t>Montant total en FCFA</t>
  </si>
  <si>
    <t>Exercice Bugbétaire……………</t>
  </si>
  <si>
    <t>Code matières</t>
  </si>
  <si>
    <t>Prêt / Détenteur:…………………………………</t>
  </si>
  <si>
    <t>Atelier/ Réparation:…………………………..</t>
  </si>
  <si>
    <t>Location / Détenteur :…………………………</t>
  </si>
  <si>
    <t>POSTE COMPTABLE DE …………….</t>
  </si>
  <si>
    <t>Exercice budgétaire : ……………</t>
  </si>
  <si>
    <t xml:space="preserve">compte </t>
  </si>
  <si>
    <t>Exercice budgétaire :…………..</t>
  </si>
  <si>
    <t xml:space="preserve"> LIVRE JOURNAL DES IMMOBILISATIONS "A"</t>
  </si>
  <si>
    <t>POSTE COMPTABLE DE :………………..</t>
  </si>
  <si>
    <t>Exercice budgétaire : ………….</t>
  </si>
  <si>
    <t>GRAND LIVRE DES IMMOBILISATIONS ' A '</t>
  </si>
  <si>
    <t>Exercice budgétaire:……………..</t>
  </si>
  <si>
    <t>POSTE COMPTABLE DE :…………….</t>
  </si>
  <si>
    <t>FICHE DE STOCK DES FOURNITURES ET CONSOMMABLES</t>
  </si>
  <si>
    <t>Travail-Liberlité-Patrie</t>
  </si>
  <si>
    <t>POSTE COMPTABLE DE : ………………..</t>
  </si>
  <si>
    <t>Exercice budgétaire : ……………..</t>
  </si>
  <si>
    <t>NOMATE</t>
  </si>
  <si>
    <t>POSTE COMPTABLE DE :…………………</t>
  </si>
  <si>
    <t>Exercice budgétaire :…………………..</t>
  </si>
  <si>
    <t>Compte 221 : Terrains</t>
  </si>
  <si>
    <t>POSTE COMPTABLE DE : ………………………….</t>
  </si>
  <si>
    <t>Exercice budgétaire: ………….</t>
  </si>
  <si>
    <t xml:space="preserve">Nom et prénoms </t>
  </si>
  <si>
    <t>Le détenteur</t>
  </si>
  <si>
    <t>Matricule des matières</t>
  </si>
  <si>
    <t>POSTE COMPTABLE DE : ……………………</t>
  </si>
  <si>
    <t>Exercie budgétaire : ……………..</t>
  </si>
  <si>
    <t>POSTE DE COMPTABLE DE : ……………………</t>
  </si>
  <si>
    <t xml:space="preserve">FICHE D'UTILISATEUR FINAL DES MATIERES   N°…………….
</t>
  </si>
  <si>
    <t>Ttravil-Liberté-Patrie</t>
  </si>
  <si>
    <t>POSTE COMPTABLE DE : ………………….</t>
  </si>
  <si>
    <t>Excecice budgétaire : ………………..</t>
  </si>
  <si>
    <t>POSTE COMPTABLE DE : …………………..</t>
  </si>
  <si>
    <t>Excercice budgétaire : ………………….</t>
  </si>
  <si>
    <t>POSTE COMPTABLE DE : …………….</t>
  </si>
  <si>
    <t>Excercice budgétaire : …………….</t>
  </si>
  <si>
    <t>Exercice budgétaire : ………………….</t>
  </si>
  <si>
    <t>N° d'odre</t>
  </si>
  <si>
    <t>Code matricule du bien</t>
  </si>
  <si>
    <t>POSTE COMPTABLE DE : ……………</t>
  </si>
  <si>
    <t>POSTE COMPTABLE DE : ……………………….</t>
  </si>
  <si>
    <t>POSTE COMPTABLE DE : …………..</t>
  </si>
  <si>
    <t>BORDEREAU DES SORTIES TEMPORAIRES N°…………... DU</t>
  </si>
  <si>
    <t>POSTE COMPTABLE DE : ………………………..</t>
  </si>
  <si>
    <t xml:space="preserve">SOMMIER DES TERRAINS N°…………….
</t>
  </si>
  <si>
    <t xml:space="preserve">             Le comptable des matières                                                                                                                                      L'ordonateur des matières</t>
  </si>
  <si>
    <t xml:space="preserve">                   Nom et Prénoms                                                                                                                                                             Nom et Prénoms</t>
  </si>
  <si>
    <t xml:space="preserve">SOMMIER DES BATIMENTS N°…………….
</t>
  </si>
  <si>
    <t>DATE</t>
  </si>
  <si>
    <t>ETAT D'INVENTAIRE</t>
  </si>
  <si>
    <t>OCCUPANT</t>
  </si>
  <si>
    <t>DESCRIPTION</t>
  </si>
  <si>
    <t>REFERENCE DE L'ACTE D'AFFECTATION</t>
  </si>
  <si>
    <t>AMORTISSEMENT/ PROVISION</t>
  </si>
  <si>
    <t>VALEUR COMPTABLE NETTE</t>
  </si>
  <si>
    <t>Valeur comptable nette</t>
  </si>
  <si>
    <t>FICHE D'INVENTAIRE DU MATERIEL EN SERVICE N°………</t>
  </si>
  <si>
    <t xml:space="preserve">FICHE MATRICULE DES BATIMENTS N°…………….
</t>
  </si>
  <si>
    <t xml:space="preserve">FICHE DES BATIMENTS PRIS EN BAIL N°…………….
</t>
  </si>
  <si>
    <t>PROPRIETAIRE</t>
  </si>
  <si>
    <t>TYPE DE PIECES</t>
  </si>
  <si>
    <t xml:space="preserve">Valeur totale des entrées: </t>
  </si>
  <si>
    <t>CARBURANT</t>
  </si>
  <si>
    <t>GAS -OIL</t>
  </si>
  <si>
    <t xml:space="preserve">LITRE </t>
  </si>
  <si>
    <t>N</t>
  </si>
  <si>
    <t>-</t>
  </si>
  <si>
    <t>BUDGET 2023</t>
  </si>
  <si>
    <t xml:space="preserve">PAR BON DE COMMANDE </t>
  </si>
  <si>
    <t>dotation du personnel, travaux et liaison</t>
  </si>
  <si>
    <t xml:space="preserve">SUPER </t>
  </si>
  <si>
    <t>Dotation du mois de janvier 2023</t>
  </si>
  <si>
    <t>travaux et liaison</t>
  </si>
  <si>
    <t>ACHAT BONS DE GASOIL</t>
  </si>
  <si>
    <t xml:space="preserve">ACHAT DE BONS SUPER </t>
  </si>
  <si>
    <t>MINISTERE DE L'ECONOMIE ET DES FINANCES</t>
  </si>
  <si>
    <t>POSTE COMPTABLE : Direction du Matériel et du Transit Administratif</t>
  </si>
  <si>
    <t>Exercice Budgétaire: 2023</t>
  </si>
  <si>
    <t>DAGL</t>
  </si>
  <si>
    <t>Achat de mobilier de bureau pour la DAF</t>
  </si>
  <si>
    <t>N° 02974</t>
  </si>
  <si>
    <t>Bon de commande          N° BC 2023-00411</t>
  </si>
  <si>
    <t>Neuf</t>
  </si>
  <si>
    <t>Nombre Total de la matière: 02 bibliothèques</t>
  </si>
  <si>
    <t>Exercice Budgétaire :2023</t>
  </si>
  <si>
    <t>Détenteur: KEREZOUWE Gnama (DAF)</t>
  </si>
  <si>
    <t>Magasin: DAF</t>
  </si>
  <si>
    <t>241008/03/101D01/2023/0001/DAGL/DAF</t>
  </si>
  <si>
    <t>241008/03/101D01/2023/0002/DAGL/DAF</t>
  </si>
  <si>
    <t>BORDEREAU D'AFFECTATION DES MATIERES N°0001 DU</t>
  </si>
  <si>
    <t>FOURNISSEUR:  SFH</t>
  </si>
  <si>
    <t>Pelles</t>
  </si>
  <si>
    <t xml:space="preserve">Achat de pelles </t>
  </si>
  <si>
    <t>Valeur totale des entrées   : 1369 390 FCFA</t>
  </si>
  <si>
    <t>FACTURE</t>
  </si>
  <si>
    <t>ORDRE D'ENTREE DE MATIERES N° 001 du 30 Octobre 2023</t>
  </si>
  <si>
    <t>N°002/SFH/YY/2023</t>
  </si>
  <si>
    <t xml:space="preserve">Balais plat </t>
  </si>
  <si>
    <t>Achat de Balai plat pour la entretien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</si>
</sst>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\ _€_-;\-* #,##0\ _€_-;_-* &quot;-&quot;\ _€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8"/>
      <color theme="1"/>
      <name val="Tahoma"/>
      <family val="2"/>
    </font>
    <font>
      <b/>
      <sz val="9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Tahoma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9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3" fillId="0" borderId="0" xfId="0" applyFont="1" applyBorder="1"/>
    <xf numFmtId="0" fontId="3" fillId="0" borderId="9" xfId="0" applyFont="1" applyBorder="1"/>
    <xf numFmtId="0" fontId="3" fillId="0" borderId="8" xfId="0" applyFont="1" applyBorder="1"/>
    <xf numFmtId="0" fontId="1" fillId="0" borderId="0" xfId="0" applyFont="1" applyBorder="1" applyAlignment="1"/>
    <xf numFmtId="0" fontId="1" fillId="0" borderId="8" xfId="0" applyFont="1" applyBorder="1" applyAlignment="1"/>
    <xf numFmtId="0" fontId="2" fillId="3" borderId="0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0" fillId="0" borderId="4" xfId="0" applyBorder="1"/>
    <xf numFmtId="0" fontId="1" fillId="0" borderId="4" xfId="0" applyFont="1" applyBorder="1"/>
    <xf numFmtId="14" fontId="0" fillId="0" borderId="10" xfId="0" applyNumberFormat="1" applyBorder="1"/>
    <xf numFmtId="0" fontId="1" fillId="0" borderId="15" xfId="0" applyFont="1" applyBorder="1"/>
    <xf numFmtId="0" fontId="1" fillId="0" borderId="9" xfId="0" applyFont="1" applyBorder="1" applyAlignment="1"/>
    <xf numFmtId="0" fontId="1" fillId="2" borderId="11" xfId="0" applyFont="1" applyFill="1" applyBorder="1"/>
    <xf numFmtId="165" fontId="1" fillId="0" borderId="6" xfId="1" applyNumberFormat="1" applyFont="1" applyBorder="1" applyAlignment="1"/>
    <xf numFmtId="165" fontId="1" fillId="0" borderId="0" xfId="1" applyNumberFormat="1" applyFont="1" applyBorder="1" applyAlignment="1"/>
    <xf numFmtId="165" fontId="0" fillId="0" borderId="0" xfId="1" applyNumberFormat="1" applyFont="1" applyBorder="1"/>
    <xf numFmtId="165" fontId="1" fillId="2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3" fillId="0" borderId="0" xfId="1" applyNumberFormat="1" applyFont="1" applyBorder="1" applyAlignment="1">
      <alignment horizontal="left" vertical="center"/>
    </xf>
    <xf numFmtId="165" fontId="0" fillId="0" borderId="13" xfId="1" applyNumberFormat="1" applyFont="1" applyBorder="1"/>
    <xf numFmtId="165" fontId="0" fillId="0" borderId="0" xfId="1" applyNumberFormat="1" applyFont="1"/>
    <xf numFmtId="0" fontId="0" fillId="0" borderId="1" xfId="0" applyBorder="1" applyAlignment="1">
      <alignment wrapText="1"/>
    </xf>
    <xf numFmtId="14" fontId="0" fillId="0" borderId="10" xfId="0" applyNumberFormat="1" applyBorder="1" applyAlignment="1">
      <alignment vertical="center"/>
    </xf>
    <xf numFmtId="165" fontId="1" fillId="0" borderId="1" xfId="1" applyNumberFormat="1" applyFont="1" applyBorder="1"/>
    <xf numFmtId="165" fontId="1" fillId="0" borderId="4" xfId="1" applyNumberFormat="1" applyFont="1" applyBorder="1"/>
    <xf numFmtId="165" fontId="1" fillId="0" borderId="16" xfId="1" applyNumberFormat="1" applyFont="1" applyBorder="1"/>
    <xf numFmtId="165" fontId="0" fillId="0" borderId="11" xfId="1" applyNumberFormat="1" applyFont="1" applyBorder="1"/>
    <xf numFmtId="165" fontId="1" fillId="0" borderId="11" xfId="1" applyNumberFormat="1" applyFont="1" applyBorder="1"/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0" xfId="0" applyBorder="1" applyAlignment="1">
      <alignment vertical="center"/>
    </xf>
    <xf numFmtId="0" fontId="1" fillId="0" borderId="10" xfId="0" applyFont="1" applyBorder="1"/>
    <xf numFmtId="165" fontId="1" fillId="0" borderId="0" xfId="1" applyNumberFormat="1" applyFont="1" applyBorder="1"/>
    <xf numFmtId="0" fontId="0" fillId="0" borderId="0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165" fontId="1" fillId="0" borderId="3" xfId="0" applyNumberFormat="1" applyFont="1" applyBorder="1" applyAlignment="1">
      <alignment wrapText="1"/>
    </xf>
    <xf numFmtId="0" fontId="1" fillId="0" borderId="2" xfId="0" applyFont="1" applyBorder="1" applyAlignment="1"/>
    <xf numFmtId="165" fontId="1" fillId="0" borderId="16" xfId="0" applyNumberFormat="1" applyFont="1" applyBorder="1" applyAlignment="1"/>
    <xf numFmtId="0" fontId="1" fillId="3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0" fontId="1" fillId="3" borderId="11" xfId="0" applyFont="1" applyFill="1" applyBorder="1"/>
    <xf numFmtId="165" fontId="0" fillId="0" borderId="11" xfId="1" applyNumberFormat="1" applyFont="1" applyBorder="1" applyAlignment="1">
      <alignment vertical="center"/>
    </xf>
    <xf numFmtId="0" fontId="1" fillId="0" borderId="17" xfId="0" applyFont="1" applyBorder="1" applyAlignment="1"/>
    <xf numFmtId="0" fontId="1" fillId="0" borderId="18" xfId="0" applyFont="1" applyBorder="1" applyAlignment="1"/>
    <xf numFmtId="165" fontId="1" fillId="0" borderId="18" xfId="1" applyNumberFormat="1" applyFont="1" applyBorder="1" applyAlignment="1"/>
    <xf numFmtId="0" fontId="1" fillId="0" borderId="18" xfId="0" applyFont="1" applyBorder="1" applyAlignment="1">
      <alignment horizontal="left"/>
    </xf>
    <xf numFmtId="0" fontId="1" fillId="0" borderId="20" xfId="0" applyFont="1" applyBorder="1" applyAlignment="1"/>
    <xf numFmtId="0" fontId="0" fillId="0" borderId="21" xfId="0" applyBorder="1"/>
    <xf numFmtId="0" fontId="1" fillId="0" borderId="20" xfId="0" applyFont="1" applyBorder="1"/>
    <xf numFmtId="0" fontId="0" fillId="0" borderId="20" xfId="0" applyBorder="1"/>
    <xf numFmtId="0" fontId="0" fillId="0" borderId="25" xfId="0" applyBorder="1"/>
    <xf numFmtId="0" fontId="0" fillId="0" borderId="26" xfId="0" applyBorder="1"/>
    <xf numFmtId="0" fontId="6" fillId="0" borderId="18" xfId="0" applyFont="1" applyBorder="1" applyAlignment="1"/>
    <xf numFmtId="165" fontId="6" fillId="0" borderId="18" xfId="1" applyNumberFormat="1" applyFont="1" applyBorder="1" applyAlignment="1"/>
    <xf numFmtId="0" fontId="6" fillId="0" borderId="18" xfId="0" applyFont="1" applyBorder="1" applyAlignment="1">
      <alignment horizontal="left"/>
    </xf>
    <xf numFmtId="0" fontId="6" fillId="0" borderId="20" xfId="0" applyFont="1" applyBorder="1" applyAlignment="1"/>
    <xf numFmtId="0" fontId="6" fillId="0" borderId="0" xfId="0" applyFont="1" applyBorder="1" applyAlignment="1"/>
    <xf numFmtId="165" fontId="6" fillId="0" borderId="0" xfId="1" applyNumberFormat="1" applyFont="1" applyBorder="1" applyAlignment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21" xfId="0" applyFont="1" applyBorder="1"/>
    <xf numFmtId="0" fontId="6" fillId="0" borderId="20" xfId="0" applyFont="1" applyBorder="1"/>
    <xf numFmtId="0" fontId="6" fillId="0" borderId="0" xfId="0" applyFont="1" applyBorder="1"/>
    <xf numFmtId="0" fontId="7" fillId="0" borderId="20" xfId="0" applyFont="1" applyBorder="1"/>
    <xf numFmtId="165" fontId="7" fillId="0" borderId="0" xfId="1" applyNumberFormat="1" applyFont="1" applyBorder="1"/>
    <xf numFmtId="0" fontId="9" fillId="0" borderId="20" xfId="0" applyFont="1" applyBorder="1"/>
    <xf numFmtId="0" fontId="6" fillId="0" borderId="24" xfId="0" applyFont="1" applyBorder="1"/>
    <xf numFmtId="0" fontId="6" fillId="0" borderId="25" xfId="0" applyFont="1" applyBorder="1"/>
    <xf numFmtId="0" fontId="7" fillId="0" borderId="25" xfId="0" applyFont="1" applyBorder="1"/>
    <xf numFmtId="0" fontId="7" fillId="0" borderId="26" xfId="0" applyFont="1" applyBorder="1"/>
    <xf numFmtId="0" fontId="10" fillId="0" borderId="0" xfId="0" applyFont="1" applyBorder="1"/>
    <xf numFmtId="0" fontId="5" fillId="0" borderId="20" xfId="0" applyFont="1" applyBorder="1"/>
    <xf numFmtId="0" fontId="0" fillId="0" borderId="24" xfId="0" applyBorder="1"/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0" fillId="0" borderId="30" xfId="0" applyBorder="1"/>
    <xf numFmtId="0" fontId="0" fillId="0" borderId="29" xfId="0" applyBorder="1"/>
    <xf numFmtId="0" fontId="0" fillId="0" borderId="27" xfId="0" applyBorder="1"/>
    <xf numFmtId="0" fontId="0" fillId="0" borderId="42" xfId="0" applyBorder="1"/>
    <xf numFmtId="0" fontId="0" fillId="0" borderId="18" xfId="0" applyBorder="1"/>
    <xf numFmtId="0" fontId="1" fillId="0" borderId="21" xfId="0" applyFont="1" applyBorder="1"/>
    <xf numFmtId="0" fontId="1" fillId="2" borderId="2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45" xfId="0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21" xfId="0" applyFont="1" applyBorder="1" applyAlignment="1"/>
    <xf numFmtId="0" fontId="1" fillId="0" borderId="0" xfId="0" applyFont="1" applyBorder="1" applyAlignment="1">
      <alignment horizontal="left"/>
    </xf>
    <xf numFmtId="0" fontId="0" fillId="0" borderId="50" xfId="0" applyBorder="1"/>
    <xf numFmtId="0" fontId="3" fillId="0" borderId="21" xfId="0" applyFont="1" applyBorder="1"/>
    <xf numFmtId="0" fontId="1" fillId="2" borderId="27" xfId="0" applyFont="1" applyFill="1" applyBorder="1"/>
    <xf numFmtId="14" fontId="0" fillId="0" borderId="27" xfId="0" applyNumberFormat="1" applyBorder="1"/>
    <xf numFmtId="0" fontId="1" fillId="0" borderId="27" xfId="0" applyFont="1" applyBorder="1"/>
    <xf numFmtId="0" fontId="1" fillId="0" borderId="18" xfId="0" applyFont="1" applyBorder="1" applyAlignment="1">
      <alignment horizontal="left"/>
    </xf>
    <xf numFmtId="0" fontId="1" fillId="2" borderId="27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7" fillId="0" borderId="27" xfId="0" applyFont="1" applyBorder="1"/>
    <xf numFmtId="0" fontId="6" fillId="2" borderId="27" xfId="0" applyFont="1" applyFill="1" applyBorder="1"/>
    <xf numFmtId="0" fontId="0" fillId="0" borderId="51" xfId="0" applyBorder="1"/>
    <xf numFmtId="0" fontId="0" fillId="2" borderId="27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165" fontId="1" fillId="2" borderId="27" xfId="1" applyNumberFormat="1" applyFont="1" applyFill="1" applyBorder="1" applyAlignment="1">
      <alignment horizontal="center" vertical="center" wrapText="1"/>
    </xf>
    <xf numFmtId="0" fontId="1" fillId="3" borderId="27" xfId="0" applyFont="1" applyFill="1" applyBorder="1" applyAlignment="1"/>
    <xf numFmtId="0" fontId="1" fillId="3" borderId="27" xfId="0" applyFont="1" applyFill="1" applyBorder="1" applyAlignment="1">
      <alignment horizontal="center" vertical="center" wrapText="1"/>
    </xf>
    <xf numFmtId="165" fontId="1" fillId="3" borderId="27" xfId="1" applyNumberFormat="1" applyFont="1" applyFill="1" applyBorder="1" applyAlignment="1">
      <alignment horizontal="center" vertical="center" wrapText="1"/>
    </xf>
    <xf numFmtId="0" fontId="1" fillId="3" borderId="27" xfId="0" applyFont="1" applyFill="1" applyBorder="1"/>
    <xf numFmtId="165" fontId="1" fillId="0" borderId="27" xfId="1" applyNumberFormat="1" applyFont="1" applyBorder="1"/>
    <xf numFmtId="165" fontId="0" fillId="0" borderId="27" xfId="1" applyNumberFormat="1" applyFont="1" applyBorder="1"/>
    <xf numFmtId="0" fontId="0" fillId="0" borderId="27" xfId="0" applyBorder="1" applyAlignment="1">
      <alignment vertical="center" wrapText="1"/>
    </xf>
    <xf numFmtId="0" fontId="0" fillId="0" borderId="27" xfId="0" applyBorder="1" applyAlignment="1">
      <alignment vertical="center"/>
    </xf>
    <xf numFmtId="165" fontId="0" fillId="0" borderId="27" xfId="1" applyNumberFormat="1" applyFont="1" applyBorder="1" applyAlignment="1">
      <alignment vertical="center"/>
    </xf>
    <xf numFmtId="0" fontId="0" fillId="0" borderId="27" xfId="0" applyBorder="1" applyAlignment="1">
      <alignment wrapText="1"/>
    </xf>
    <xf numFmtId="0" fontId="3" fillId="0" borderId="20" xfId="0" applyFont="1" applyBorder="1" applyAlignment="1">
      <alignment vertical="center" wrapText="1"/>
    </xf>
    <xf numFmtId="165" fontId="0" fillId="0" borderId="25" xfId="1" applyNumberFormat="1" applyFont="1" applyBorder="1"/>
    <xf numFmtId="0" fontId="6" fillId="0" borderId="6" xfId="0" applyFont="1" applyBorder="1" applyAlignment="1"/>
    <xf numFmtId="165" fontId="6" fillId="0" borderId="6" xfId="1" applyNumberFormat="1" applyFont="1" applyBorder="1" applyAlignment="1"/>
    <xf numFmtId="0" fontId="6" fillId="0" borderId="6" xfId="0" applyFont="1" applyBorder="1" applyAlignment="1">
      <alignment horizontal="left"/>
    </xf>
    <xf numFmtId="0" fontId="0" fillId="0" borderId="7" xfId="0" applyBorder="1"/>
    <xf numFmtId="0" fontId="6" fillId="0" borderId="8" xfId="0" applyFont="1" applyBorder="1" applyAlignment="1"/>
    <xf numFmtId="0" fontId="7" fillId="0" borderId="8" xfId="0" applyFont="1" applyBorder="1"/>
    <xf numFmtId="0" fontId="0" fillId="0" borderId="8" xfId="0" applyFont="1" applyBorder="1"/>
    <xf numFmtId="0" fontId="0" fillId="0" borderId="0" xfId="0" applyFont="1" applyBorder="1"/>
    <xf numFmtId="0" fontId="7" fillId="0" borderId="9" xfId="0" applyFont="1" applyBorder="1"/>
    <xf numFmtId="0" fontId="13" fillId="5" borderId="27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6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2" borderId="2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6" fillId="2" borderId="28" xfId="0" applyFont="1" applyFill="1" applyBorder="1"/>
    <xf numFmtId="0" fontId="7" fillId="0" borderId="28" xfId="0" applyFont="1" applyBorder="1"/>
    <xf numFmtId="0" fontId="7" fillId="0" borderId="65" xfId="0" applyFont="1" applyBorder="1" applyAlignment="1"/>
    <xf numFmtId="0" fontId="7" fillId="0" borderId="66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0" fillId="2" borderId="27" xfId="0" applyFill="1" applyBorder="1" applyAlignment="1">
      <alignment horizontal="center" vertical="center" wrapText="1"/>
    </xf>
    <xf numFmtId="0" fontId="0" fillId="0" borderId="71" xfId="0" applyBorder="1"/>
    <xf numFmtId="0" fontId="0" fillId="0" borderId="67" xfId="0" applyBorder="1"/>
    <xf numFmtId="0" fontId="0" fillId="0" borderId="63" xfId="0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wrapText="1"/>
    </xf>
    <xf numFmtId="14" fontId="0" fillId="0" borderId="50" xfId="0" applyNumberFormat="1" applyBorder="1"/>
    <xf numFmtId="0" fontId="1" fillId="0" borderId="50" xfId="0" applyFont="1" applyBorder="1"/>
    <xf numFmtId="0" fontId="0" fillId="3" borderId="4" xfId="0" applyFill="1" applyBorder="1" applyAlignment="1"/>
    <xf numFmtId="0" fontId="0" fillId="3" borderId="3" xfId="0" applyFill="1" applyBorder="1" applyAlignment="1"/>
    <xf numFmtId="0" fontId="1" fillId="3" borderId="15" xfId="0" applyFont="1" applyFill="1" applyBorder="1" applyAlignment="1"/>
    <xf numFmtId="0" fontId="1" fillId="0" borderId="15" xfId="0" applyFont="1" applyBorder="1" applyAlignment="1"/>
    <xf numFmtId="0" fontId="1" fillId="0" borderId="4" xfId="0" applyFont="1" applyBorder="1" applyAlignment="1"/>
    <xf numFmtId="0" fontId="1" fillId="0" borderId="3" xfId="0" applyFont="1" applyBorder="1" applyAlignment="1"/>
    <xf numFmtId="0" fontId="0" fillId="0" borderId="51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51" xfId="0" applyBorder="1" applyAlignment="1">
      <alignment wrapText="1"/>
    </xf>
    <xf numFmtId="0" fontId="0" fillId="0" borderId="0" xfId="0" applyBorder="1" applyAlignment="1">
      <alignment vertical="center" wrapText="1"/>
    </xf>
    <xf numFmtId="0" fontId="15" fillId="5" borderId="50" xfId="0" applyFont="1" applyFill="1" applyBorder="1" applyAlignment="1">
      <alignment horizontal="center" vertical="center" wrapText="1"/>
    </xf>
    <xf numFmtId="0" fontId="0" fillId="0" borderId="68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0" fillId="0" borderId="68" xfId="0" applyBorder="1"/>
    <xf numFmtId="0" fontId="1" fillId="3" borderId="21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2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165" fontId="1" fillId="3" borderId="1" xfId="1" applyNumberFormat="1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7" xfId="0" applyFont="1" applyBorder="1" applyAlignment="1"/>
    <xf numFmtId="0" fontId="1" fillId="0" borderId="8" xfId="0" applyFont="1" applyBorder="1" applyAlignment="1">
      <alignment horizontal="center" wrapText="1"/>
    </xf>
    <xf numFmtId="0" fontId="0" fillId="0" borderId="19" xfId="0" applyBorder="1"/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65" xfId="0" applyBorder="1"/>
    <xf numFmtId="0" fontId="0" fillId="0" borderId="79" xfId="0" applyBorder="1"/>
    <xf numFmtId="0" fontId="0" fillId="0" borderId="82" xfId="0" applyBorder="1"/>
    <xf numFmtId="0" fontId="3" fillId="0" borderId="0" xfId="0" applyFont="1" applyBorder="1" applyAlignment="1"/>
    <xf numFmtId="0" fontId="7" fillId="0" borderId="0" xfId="0" applyFont="1" applyBorder="1" applyAlignment="1">
      <alignment horizontal="center"/>
    </xf>
    <xf numFmtId="0" fontId="18" fillId="0" borderId="0" xfId="0" applyFont="1"/>
    <xf numFmtId="0" fontId="0" fillId="0" borderId="0" xfId="0" applyAlignment="1"/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9" fillId="0" borderId="8" xfId="0" applyFont="1" applyBorder="1"/>
    <xf numFmtId="0" fontId="7" fillId="0" borderId="50" xfId="0" applyFont="1" applyBorder="1"/>
    <xf numFmtId="0" fontId="6" fillId="0" borderId="8" xfId="0" applyFont="1" applyBorder="1"/>
    <xf numFmtId="0" fontId="6" fillId="0" borderId="12" xfId="0" applyFont="1" applyBorder="1"/>
    <xf numFmtId="0" fontId="6" fillId="0" borderId="13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0" xfId="0" applyFont="1" applyBorder="1" applyAlignment="1"/>
    <xf numFmtId="0" fontId="0" fillId="0" borderId="50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64" xfId="0" applyBorder="1" applyAlignment="1"/>
    <xf numFmtId="0" fontId="0" fillId="0" borderId="8" xfId="0" applyBorder="1" applyAlignment="1"/>
    <xf numFmtId="0" fontId="0" fillId="0" borderId="81" xfId="0" applyBorder="1" applyAlignment="1"/>
    <xf numFmtId="0" fontId="0" fillId="0" borderId="89" xfId="0" applyBorder="1" applyAlignment="1"/>
    <xf numFmtId="0" fontId="0" fillId="0" borderId="90" xfId="0" applyBorder="1" applyAlignment="1"/>
    <xf numFmtId="0" fontId="1" fillId="0" borderId="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6" fillId="5" borderId="72" xfId="0" applyFont="1" applyFill="1" applyBorder="1" applyAlignment="1">
      <alignment horizontal="center" vertical="center" wrapText="1"/>
    </xf>
    <xf numFmtId="0" fontId="0" fillId="0" borderId="93" xfId="0" applyBorder="1" applyAlignment="1">
      <alignment vertical="center" wrapText="1"/>
    </xf>
    <xf numFmtId="0" fontId="0" fillId="0" borderId="94" xfId="0" applyBorder="1" applyAlignment="1">
      <alignment vertical="center" wrapText="1"/>
    </xf>
    <xf numFmtId="0" fontId="0" fillId="0" borderId="95" xfId="0" applyBorder="1" applyAlignment="1">
      <alignment vertical="center" wrapText="1"/>
    </xf>
    <xf numFmtId="0" fontId="0" fillId="0" borderId="91" xfId="0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83" xfId="0" applyBorder="1" applyAlignment="1">
      <alignment vertical="center"/>
    </xf>
    <xf numFmtId="0" fontId="0" fillId="0" borderId="8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65" xfId="0" applyBorder="1" applyAlignment="1">
      <alignment vertical="center" wrapText="1"/>
    </xf>
    <xf numFmtId="0" fontId="20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3" xfId="0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1" fillId="0" borderId="45" xfId="0" applyNumberFormat="1" applyFont="1" applyBorder="1"/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left" wrapText="1"/>
    </xf>
    <xf numFmtId="0" fontId="0" fillId="0" borderId="42" xfId="0" applyBorder="1" applyAlignment="1">
      <alignment horizontal="center"/>
    </xf>
    <xf numFmtId="166" fontId="0" fillId="0" borderId="27" xfId="0" applyNumberFormat="1" applyBorder="1" applyAlignment="1">
      <alignment horizontal="right" vertical="center"/>
    </xf>
    <xf numFmtId="166" fontId="1" fillId="0" borderId="27" xfId="0" applyNumberFormat="1" applyFont="1" applyBorder="1"/>
    <xf numFmtId="0" fontId="0" fillId="0" borderId="29" xfId="0" applyBorder="1" applyAlignment="1">
      <alignment horizontal="left" vertical="center" wrapText="1"/>
    </xf>
    <xf numFmtId="3" fontId="0" fillId="0" borderId="88" xfId="0" applyNumberForma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91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80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horizontal="left" vertical="top" wrapText="1"/>
    </xf>
    <xf numFmtId="0" fontId="1" fillId="2" borderId="36" xfId="0" applyFont="1" applyFill="1" applyBorder="1" applyAlignment="1">
      <alignment horizontal="left" vertical="top" wrapText="1"/>
    </xf>
    <xf numFmtId="0" fontId="0" fillId="2" borderId="1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79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7" xfId="0" applyBorder="1" applyAlignment="1">
      <alignment horizontal="center"/>
    </xf>
    <xf numFmtId="0" fontId="1" fillId="2" borderId="81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83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6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4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2" borderId="82" xfId="0" applyFont="1" applyFill="1" applyBorder="1" applyAlignment="1">
      <alignment horizontal="center" vertical="center" wrapText="1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2" borderId="69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 wrapText="1"/>
    </xf>
    <xf numFmtId="0" fontId="1" fillId="3" borderId="64" xfId="0" applyFont="1" applyFill="1" applyBorder="1" applyAlignment="1">
      <alignment horizontal="left" vertical="center"/>
    </xf>
    <xf numFmtId="0" fontId="1" fillId="3" borderId="37" xfId="0" applyFont="1" applyFill="1" applyBorder="1" applyAlignment="1">
      <alignment horizontal="left" vertical="center"/>
    </xf>
    <xf numFmtId="0" fontId="1" fillId="3" borderId="65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65" xfId="0" applyFont="1" applyBorder="1" applyAlignment="1">
      <alignment horizontal="center"/>
    </xf>
    <xf numFmtId="0" fontId="1" fillId="2" borderId="5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1" fillId="3" borderId="50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0" fillId="3" borderId="27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1" fillId="3" borderId="67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0" fillId="3" borderId="46" xfId="0" applyFill="1" applyBorder="1" applyAlignment="1">
      <alignment horizontal="left"/>
    </xf>
    <xf numFmtId="0" fontId="0" fillId="3" borderId="58" xfId="0" applyFill="1" applyBorder="1" applyAlignment="1">
      <alignment horizontal="left"/>
    </xf>
    <xf numFmtId="0" fontId="0" fillId="3" borderId="76" xfId="0" applyFill="1" applyBorder="1" applyAlignment="1">
      <alignment horizontal="left"/>
    </xf>
    <xf numFmtId="0" fontId="1" fillId="2" borderId="5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42" xfId="0" applyFill="1" applyBorder="1" applyAlignment="1">
      <alignment horizontal="left"/>
    </xf>
    <xf numFmtId="0" fontId="0" fillId="3" borderId="77" xfId="0" applyFill="1" applyBorder="1" applyAlignment="1">
      <alignment horizontal="left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2" borderId="63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49" fontId="0" fillId="0" borderId="0" xfId="0" applyNumberFormat="1" applyAlignment="1">
      <alignment horizontal="left" wrapText="1"/>
    </xf>
    <xf numFmtId="0" fontId="0" fillId="0" borderId="27" xfId="0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65" fontId="1" fillId="3" borderId="15" xfId="1" applyNumberFormat="1" applyFont="1" applyFill="1" applyBorder="1" applyAlignment="1">
      <alignment horizontal="center" vertical="center" wrapText="1"/>
    </xf>
    <xf numFmtId="165" fontId="1" fillId="3" borderId="4" xfId="1" applyNumberFormat="1" applyFont="1" applyFill="1" applyBorder="1" applyAlignment="1">
      <alignment horizontal="center" vertical="center" wrapText="1"/>
    </xf>
    <xf numFmtId="165" fontId="1" fillId="3" borderId="16" xfId="1" applyNumberFormat="1" applyFont="1" applyFill="1" applyBorder="1" applyAlignment="1">
      <alignment horizontal="center" vertical="center" wrapText="1"/>
    </xf>
    <xf numFmtId="165" fontId="1" fillId="3" borderId="10" xfId="1" applyNumberFormat="1" applyFont="1" applyFill="1" applyBorder="1" applyAlignment="1">
      <alignment horizontal="center" vertical="center" wrapText="1"/>
    </xf>
    <xf numFmtId="165" fontId="1" fillId="3" borderId="1" xfId="1" applyNumberFormat="1" applyFont="1" applyFill="1" applyBorder="1" applyAlignment="1">
      <alignment horizontal="center" vertical="center" wrapText="1"/>
    </xf>
    <xf numFmtId="165" fontId="1" fillId="3" borderId="1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4" fillId="2" borderId="86" xfId="0" applyFont="1" applyFill="1" applyBorder="1" applyAlignment="1">
      <alignment horizontal="center" wrapText="1"/>
    </xf>
    <xf numFmtId="0" fontId="14" fillId="2" borderId="87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8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0" fillId="2" borderId="27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wrapText="1"/>
    </xf>
    <xf numFmtId="0" fontId="6" fillId="0" borderId="2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wrapText="1"/>
    </xf>
    <xf numFmtId="0" fontId="6" fillId="2" borderId="51" xfId="0" applyFont="1" applyFill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11" fillId="5" borderId="50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0" fillId="0" borderId="8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9" xfId="0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4" borderId="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ssi.kegeh/Desktop/BATIMENTS/BATI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UATION DES BATIMENTS 4"/>
      <sheetName val="BATIMENT CABINET"/>
      <sheetName val="SITUATION DES BATIMENTS 2"/>
      <sheetName val="SITUATION DES BATIMENTS 3"/>
      <sheetName val="SITUATION DES BATIMENTS "/>
      <sheetName val="TERRAINS"/>
    </sheetNames>
    <sheetDataSet>
      <sheetData sheetId="0"/>
      <sheetData sheetId="1"/>
      <sheetData sheetId="2">
        <row r="26">
          <cell r="A26" t="str">
            <v>Rez de Chaussée</v>
          </cell>
        </row>
        <row r="27">
          <cell r="A27" t="str">
            <v xml:space="preserve">Etage </v>
          </cell>
        </row>
        <row r="28">
          <cell r="A28" t="str">
            <v>Pavillon</v>
          </cell>
        </row>
        <row r="33">
          <cell r="A33" t="str">
            <v>Bureau</v>
          </cell>
        </row>
        <row r="34">
          <cell r="A34" t="str">
            <v xml:space="preserve">Logement </v>
          </cell>
        </row>
        <row r="35">
          <cell r="A35" t="str">
            <v>Technique</v>
          </cell>
        </row>
        <row r="37">
          <cell r="A37" t="str">
            <v xml:space="preserve">Construction </v>
          </cell>
        </row>
        <row r="38">
          <cell r="A38" t="str">
            <v xml:space="preserve">Acquisition </v>
          </cell>
        </row>
        <row r="39">
          <cell r="A39" t="str">
            <v xml:space="preserve">Bail  </v>
          </cell>
        </row>
        <row r="40">
          <cell r="A40" t="str">
            <v xml:space="preserve">Location </v>
          </cell>
        </row>
        <row r="41">
          <cell r="A41" t="str">
            <v>Dons ou leg</v>
          </cell>
        </row>
        <row r="43">
          <cell r="A43" t="str">
            <v>Bureaux</v>
          </cell>
        </row>
        <row r="44">
          <cell r="A44" t="str">
            <v>Salles</v>
          </cell>
        </row>
        <row r="45">
          <cell r="A45" t="str">
            <v>Salons</v>
          </cell>
        </row>
        <row r="46">
          <cell r="A46" t="str">
            <v>Salles d'eau</v>
          </cell>
        </row>
        <row r="47">
          <cell r="A47" t="str">
            <v>Toilettes</v>
          </cell>
        </row>
        <row r="48">
          <cell r="A48" t="str">
            <v>Cuisines</v>
          </cell>
        </row>
        <row r="49">
          <cell r="A49" t="str">
            <v>Garages</v>
          </cell>
        </row>
        <row r="50">
          <cell r="A50" t="str">
            <v>Hangars</v>
          </cell>
        </row>
        <row r="51">
          <cell r="A51" t="str">
            <v xml:space="preserve">Autres </v>
          </cell>
        </row>
      </sheetData>
      <sheetData sheetId="3"/>
      <sheetData sheetId="4"/>
      <sheetData sheetId="5">
        <row r="106">
          <cell r="A106" t="str">
            <v>Acquisitions de sites et terrains</v>
          </cell>
        </row>
        <row r="107">
          <cell r="A107" t="str">
            <v>Aménagement de zone de production agricole</v>
          </cell>
        </row>
        <row r="108">
          <cell r="A108" t="str">
            <v>Aménagement, clôtures de terrains et réserves administratifs non bâtis</v>
          </cell>
        </row>
        <row r="109">
          <cell r="A109" t="str">
            <v>Aménagement, clôtures de terrains administratifs bâtis</v>
          </cell>
        </row>
        <row r="110">
          <cell r="A110" t="str">
            <v xml:space="preserve">Aménagement et clôtures de terrains en cours  </v>
          </cell>
        </row>
        <row r="111">
          <cell r="A111" t="str">
            <v>Autres terrains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view="pageBreakPreview" topLeftCell="A7" zoomScale="112" zoomScaleNormal="100" zoomScaleSheetLayoutView="112" workbookViewId="0">
      <selection activeCell="M10" sqref="M1:O1048576"/>
    </sheetView>
  </sheetViews>
  <sheetFormatPr baseColWidth="10" defaultRowHeight="15" x14ac:dyDescent="0.25"/>
  <cols>
    <col min="1" max="1" width="7.5703125" customWidth="1"/>
    <col min="2" max="2" width="8.5703125" customWidth="1"/>
    <col min="3" max="3" width="12.42578125" bestFit="1" customWidth="1"/>
    <col min="4" max="4" width="9.140625" customWidth="1"/>
    <col min="5" max="5" width="8.140625" customWidth="1"/>
    <col min="6" max="6" width="25.140625" customWidth="1"/>
    <col min="7" max="7" width="14.42578125" customWidth="1"/>
    <col min="8" max="8" width="11.42578125" customWidth="1"/>
    <col min="9" max="9" width="12.140625" customWidth="1"/>
    <col min="10" max="10" width="9.140625" customWidth="1"/>
    <col min="11" max="11" width="10.28515625" customWidth="1"/>
    <col min="12" max="12" width="21.28515625" customWidth="1"/>
  </cols>
  <sheetData>
    <row r="1" spans="1:18" x14ac:dyDescent="0.25">
      <c r="A1" s="21" t="s">
        <v>149</v>
      </c>
      <c r="B1" s="22"/>
      <c r="C1" s="22"/>
      <c r="D1" s="22"/>
      <c r="E1" s="5"/>
      <c r="F1" s="5"/>
      <c r="G1" s="22"/>
      <c r="H1" s="22"/>
      <c r="I1" s="22"/>
      <c r="J1" s="22" t="s">
        <v>203</v>
      </c>
      <c r="K1" s="22"/>
      <c r="L1" s="215"/>
      <c r="M1" s="305"/>
      <c r="N1" s="305"/>
      <c r="O1" s="305"/>
      <c r="P1" s="305"/>
      <c r="Q1" s="305"/>
      <c r="R1" s="305"/>
    </row>
    <row r="2" spans="1:18" x14ac:dyDescent="0.25">
      <c r="A2" s="7"/>
      <c r="B2" s="2"/>
      <c r="C2" s="2"/>
      <c r="D2" s="18"/>
      <c r="E2" s="2"/>
      <c r="F2" s="2"/>
      <c r="G2" s="18"/>
      <c r="H2" s="18"/>
      <c r="I2" s="18"/>
      <c r="J2" s="18" t="s">
        <v>204</v>
      </c>
      <c r="K2" s="18"/>
      <c r="L2" s="27"/>
    </row>
    <row r="3" spans="1:18" x14ac:dyDescent="0.25">
      <c r="A3" s="316"/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17"/>
    </row>
    <row r="4" spans="1:18" x14ac:dyDescent="0.25">
      <c r="A4" s="12" t="s">
        <v>154</v>
      </c>
      <c r="B4" s="2"/>
      <c r="C4" s="2"/>
      <c r="D4" s="18"/>
      <c r="E4" s="18"/>
      <c r="F4" s="18"/>
      <c r="G4" s="18"/>
      <c r="H4" s="18"/>
      <c r="I4" s="18"/>
      <c r="J4" s="13" t="s">
        <v>205</v>
      </c>
      <c r="K4" s="2"/>
      <c r="L4" s="6"/>
    </row>
    <row r="5" spans="1:18" ht="34.5" customHeight="1" x14ac:dyDescent="0.25">
      <c r="A5" s="326" t="s">
        <v>16</v>
      </c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8"/>
    </row>
    <row r="6" spans="1:18" ht="18.75" customHeight="1" thickBot="1" x14ac:dyDescent="0.3">
      <c r="A6" s="218"/>
      <c r="B6" s="20"/>
      <c r="C6" s="20"/>
      <c r="D6" s="20"/>
      <c r="E6" s="20"/>
      <c r="F6" s="20"/>
      <c r="G6" s="20"/>
      <c r="H6" s="20"/>
      <c r="I6" s="20"/>
      <c r="J6" s="20"/>
      <c r="K6" s="20"/>
      <c r="L6" s="219"/>
    </row>
    <row r="7" spans="1:18" ht="30.75" customHeight="1" thickTop="1" x14ac:dyDescent="0.25">
      <c r="A7" s="329" t="s">
        <v>32</v>
      </c>
      <c r="B7" s="330"/>
      <c r="C7" s="330"/>
      <c r="D7" s="330"/>
      <c r="E7" s="331"/>
      <c r="F7" s="335" t="s">
        <v>4</v>
      </c>
      <c r="G7" s="336"/>
      <c r="H7" s="320" t="s">
        <v>5</v>
      </c>
      <c r="I7" s="321"/>
      <c r="J7" s="335" t="s">
        <v>60</v>
      </c>
      <c r="K7" s="347"/>
      <c r="L7" s="348"/>
    </row>
    <row r="8" spans="1:18" ht="24" customHeight="1" thickBot="1" x14ac:dyDescent="0.3">
      <c r="A8" s="332"/>
      <c r="B8" s="333"/>
      <c r="C8" s="333"/>
      <c r="D8" s="333"/>
      <c r="E8" s="334"/>
      <c r="F8" s="337"/>
      <c r="G8" s="338"/>
      <c r="H8" s="322"/>
      <c r="I8" s="323"/>
      <c r="J8" s="337"/>
      <c r="K8" s="349"/>
      <c r="L8" s="350"/>
    </row>
    <row r="9" spans="1:18" ht="19.5" customHeight="1" thickTop="1" thickBot="1" x14ac:dyDescent="0.3">
      <c r="A9" s="307" t="s">
        <v>274</v>
      </c>
      <c r="B9" s="308"/>
      <c r="C9" s="362" t="s">
        <v>0</v>
      </c>
      <c r="D9" s="362"/>
      <c r="E9" s="363"/>
      <c r="F9" s="339"/>
      <c r="G9" s="340"/>
      <c r="H9" s="324"/>
      <c r="I9" s="325"/>
      <c r="J9" s="339"/>
      <c r="K9" s="351"/>
      <c r="L9" s="352"/>
    </row>
    <row r="10" spans="1:18" ht="16.5" thickTop="1" thickBot="1" x14ac:dyDescent="0.3">
      <c r="A10" s="309" t="s">
        <v>1</v>
      </c>
      <c r="B10" s="310"/>
      <c r="C10" s="364" t="s">
        <v>294</v>
      </c>
      <c r="D10" s="365"/>
      <c r="E10" s="366"/>
      <c r="F10" s="341" t="s">
        <v>281</v>
      </c>
      <c r="G10" s="342"/>
      <c r="H10" s="341" t="s">
        <v>282</v>
      </c>
      <c r="I10" s="342"/>
      <c r="J10" s="353" t="s">
        <v>285</v>
      </c>
      <c r="K10" s="354"/>
      <c r="L10" s="355"/>
    </row>
    <row r="11" spans="1:18" ht="16.5" thickTop="1" thickBot="1" x14ac:dyDescent="0.3">
      <c r="A11" s="309" t="s">
        <v>2</v>
      </c>
      <c r="B11" s="310"/>
      <c r="C11" s="364" t="s">
        <v>280</v>
      </c>
      <c r="D11" s="365"/>
      <c r="E11" s="366"/>
      <c r="F11" s="343"/>
      <c r="G11" s="344"/>
      <c r="H11" s="343"/>
      <c r="I11" s="344"/>
      <c r="J11" s="356"/>
      <c r="K11" s="357"/>
      <c r="L11" s="358"/>
    </row>
    <row r="12" spans="1:18" ht="16.5" thickTop="1" thickBot="1" x14ac:dyDescent="0.3">
      <c r="A12" s="318" t="s">
        <v>3</v>
      </c>
      <c r="B12" s="319"/>
      <c r="C12" s="367" t="s">
        <v>280</v>
      </c>
      <c r="D12" s="367"/>
      <c r="E12" s="368"/>
      <c r="F12" s="345"/>
      <c r="G12" s="346"/>
      <c r="H12" s="345"/>
      <c r="I12" s="346"/>
      <c r="J12" s="359"/>
      <c r="K12" s="360"/>
      <c r="L12" s="361"/>
    </row>
    <row r="13" spans="1:18" ht="15.75" thickBot="1" x14ac:dyDescent="0.3">
      <c r="A13" s="7"/>
      <c r="B13" s="67"/>
      <c r="C13" s="70"/>
      <c r="D13" s="70"/>
      <c r="E13" s="70"/>
      <c r="F13" s="70"/>
      <c r="G13" s="70"/>
      <c r="H13" s="70"/>
      <c r="I13" s="70"/>
      <c r="J13" s="2"/>
      <c r="K13" s="2"/>
      <c r="L13" s="222"/>
    </row>
    <row r="14" spans="1:18" ht="20.25" customHeight="1" thickTop="1" thickBot="1" x14ac:dyDescent="0.3">
      <c r="A14" s="288" t="s">
        <v>26</v>
      </c>
      <c r="B14" s="288" t="s">
        <v>199</v>
      </c>
      <c r="C14" s="287" t="s">
        <v>7</v>
      </c>
      <c r="D14" s="306" t="s">
        <v>8</v>
      </c>
      <c r="E14" s="311" t="s">
        <v>61</v>
      </c>
      <c r="F14" s="311" t="s">
        <v>10</v>
      </c>
      <c r="G14" s="311" t="s">
        <v>9</v>
      </c>
      <c r="H14" s="311" t="s">
        <v>11</v>
      </c>
      <c r="I14" s="312" t="s">
        <v>12</v>
      </c>
      <c r="J14" s="314" t="s">
        <v>200</v>
      </c>
      <c r="K14" s="315"/>
      <c r="L14" s="313" t="s">
        <v>13</v>
      </c>
    </row>
    <row r="15" spans="1:18" ht="24" customHeight="1" thickBot="1" x14ac:dyDescent="0.3">
      <c r="A15" s="289"/>
      <c r="B15" s="289"/>
      <c r="C15" s="287"/>
      <c r="D15" s="306"/>
      <c r="E15" s="311"/>
      <c r="F15" s="311"/>
      <c r="G15" s="311"/>
      <c r="H15" s="311"/>
      <c r="I15" s="311"/>
      <c r="J15" s="190" t="s">
        <v>201</v>
      </c>
      <c r="K15" s="190" t="s">
        <v>202</v>
      </c>
      <c r="L15" s="313"/>
    </row>
    <row r="16" spans="1:18" ht="34.5" customHeight="1" thickTop="1" thickBot="1" x14ac:dyDescent="0.3">
      <c r="A16" s="270">
        <v>1</v>
      </c>
      <c r="B16" s="271">
        <v>601150</v>
      </c>
      <c r="C16" s="272" t="s">
        <v>276</v>
      </c>
      <c r="D16" s="272" t="s">
        <v>277</v>
      </c>
      <c r="E16" s="134" t="s">
        <v>278</v>
      </c>
      <c r="F16" s="134" t="s">
        <v>287</v>
      </c>
      <c r="G16" s="134">
        <v>9610</v>
      </c>
      <c r="H16" s="134">
        <v>850</v>
      </c>
      <c r="I16" s="134">
        <f>G16*H16</f>
        <v>8168500</v>
      </c>
      <c r="J16" s="263" t="s">
        <v>279</v>
      </c>
      <c r="K16" s="263" t="s">
        <v>280</v>
      </c>
      <c r="L16" s="273" t="s">
        <v>283</v>
      </c>
    </row>
    <row r="17" spans="1:12" ht="16.5" thickTop="1" thickBot="1" x14ac:dyDescent="0.3">
      <c r="A17" s="252">
        <v>2</v>
      </c>
      <c r="B17" s="271">
        <v>601150</v>
      </c>
      <c r="C17" s="272" t="s">
        <v>276</v>
      </c>
      <c r="D17" s="67" t="s">
        <v>284</v>
      </c>
      <c r="E17" s="98" t="s">
        <v>278</v>
      </c>
      <c r="F17" s="98" t="s">
        <v>288</v>
      </c>
      <c r="G17" s="98">
        <v>900</v>
      </c>
      <c r="H17" s="98">
        <v>700</v>
      </c>
      <c r="I17" s="134">
        <f>G17*H17</f>
        <v>630000</v>
      </c>
      <c r="J17" s="263" t="s">
        <v>279</v>
      </c>
      <c r="K17" s="263" t="s">
        <v>280</v>
      </c>
      <c r="L17" s="6" t="s">
        <v>286</v>
      </c>
    </row>
    <row r="18" spans="1:12" ht="16.5" thickTop="1" thickBot="1" x14ac:dyDescent="0.3">
      <c r="A18" s="251">
        <v>3</v>
      </c>
      <c r="B18" s="254"/>
      <c r="C18" s="96"/>
      <c r="D18" s="96"/>
      <c r="E18" s="97"/>
      <c r="F18" s="97"/>
      <c r="G18" s="97"/>
      <c r="H18" s="97"/>
      <c r="I18" s="97"/>
      <c r="J18" s="96"/>
      <c r="K18" s="96"/>
      <c r="L18" s="220"/>
    </row>
    <row r="19" spans="1:12" ht="16.5" thickTop="1" thickBot="1" x14ac:dyDescent="0.3">
      <c r="A19" s="251"/>
      <c r="B19" s="254"/>
      <c r="C19" s="220"/>
      <c r="D19" s="96"/>
      <c r="E19" s="97"/>
      <c r="F19" s="97"/>
      <c r="G19" s="97"/>
      <c r="H19" s="97"/>
      <c r="I19" s="97"/>
      <c r="J19" s="96"/>
      <c r="K19" s="96"/>
      <c r="L19" s="220"/>
    </row>
    <row r="20" spans="1:12" ht="16.5" thickTop="1" thickBot="1" x14ac:dyDescent="0.3">
      <c r="A20" s="253"/>
      <c r="B20" s="255"/>
      <c r="C20" s="221"/>
      <c r="D20" s="217"/>
      <c r="E20" s="104"/>
      <c r="F20" s="104"/>
      <c r="G20" s="104"/>
      <c r="H20" s="104"/>
      <c r="I20" s="104"/>
      <c r="J20" s="217"/>
      <c r="K20" s="217"/>
      <c r="L20" s="221"/>
    </row>
    <row r="21" spans="1:12" ht="15.75" thickBot="1" x14ac:dyDescent="0.3">
      <c r="A21" s="293" t="s">
        <v>275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5"/>
    </row>
    <row r="22" spans="1:12" x14ac:dyDescent="0.25">
      <c r="A22" s="296" t="s">
        <v>63</v>
      </c>
      <c r="B22" s="297"/>
      <c r="C22" s="297"/>
      <c r="D22" s="13"/>
      <c r="E22" s="301" t="s">
        <v>148</v>
      </c>
      <c r="F22" s="301"/>
      <c r="G22" s="301"/>
      <c r="H22" s="301"/>
      <c r="I22" s="13" t="s">
        <v>147</v>
      </c>
      <c r="J22" s="13"/>
      <c r="K22" s="13"/>
      <c r="L22" s="14"/>
    </row>
    <row r="23" spans="1:12" x14ac:dyDescent="0.25">
      <c r="A23" s="290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2"/>
    </row>
    <row r="24" spans="1:12" x14ac:dyDescent="0.25">
      <c r="A24" s="290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2"/>
    </row>
    <row r="25" spans="1:12" x14ac:dyDescent="0.25">
      <c r="A25" s="290"/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2"/>
    </row>
    <row r="26" spans="1:12" x14ac:dyDescent="0.25">
      <c r="A26" s="290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2"/>
    </row>
    <row r="27" spans="1:12" x14ac:dyDescent="0.25">
      <c r="A27" s="304"/>
      <c r="B27" s="303"/>
      <c r="C27" s="301"/>
      <c r="D27" s="301"/>
      <c r="E27" s="301"/>
      <c r="F27" s="264"/>
      <c r="G27" s="302"/>
      <c r="H27" s="302"/>
      <c r="I27" s="303"/>
      <c r="J27" s="303"/>
      <c r="K27" s="303"/>
      <c r="L27" s="6"/>
    </row>
    <row r="28" spans="1:12" ht="15.75" thickBot="1" x14ac:dyDescent="0.3">
      <c r="A28" s="298"/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300"/>
    </row>
  </sheetData>
  <mergeCells count="39">
    <mergeCell ref="A7:E8"/>
    <mergeCell ref="F7:G9"/>
    <mergeCell ref="F10:G12"/>
    <mergeCell ref="H10:I12"/>
    <mergeCell ref="J7:L9"/>
    <mergeCell ref="J10:L12"/>
    <mergeCell ref="C9:E9"/>
    <mergeCell ref="C10:E10"/>
    <mergeCell ref="C11:E11"/>
    <mergeCell ref="C12:E12"/>
    <mergeCell ref="M1:R1"/>
    <mergeCell ref="D14:D15"/>
    <mergeCell ref="A9:B9"/>
    <mergeCell ref="A10:B10"/>
    <mergeCell ref="A11:B11"/>
    <mergeCell ref="F14:F15"/>
    <mergeCell ref="G14:G15"/>
    <mergeCell ref="H14:H15"/>
    <mergeCell ref="I14:I15"/>
    <mergeCell ref="L14:L15"/>
    <mergeCell ref="J14:K14"/>
    <mergeCell ref="A3:L3"/>
    <mergeCell ref="A12:B12"/>
    <mergeCell ref="H7:I9"/>
    <mergeCell ref="A5:L5"/>
    <mergeCell ref="E14:E15"/>
    <mergeCell ref="A28:L28"/>
    <mergeCell ref="C27:E27"/>
    <mergeCell ref="G27:H27"/>
    <mergeCell ref="G22:H22"/>
    <mergeCell ref="E22:F22"/>
    <mergeCell ref="I27:K27"/>
    <mergeCell ref="A27:B27"/>
    <mergeCell ref="C14:C15"/>
    <mergeCell ref="B14:B15"/>
    <mergeCell ref="A14:A15"/>
    <mergeCell ref="A23:L26"/>
    <mergeCell ref="A21:L21"/>
    <mergeCell ref="A22:C22"/>
  </mergeCells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B073-6146-42EA-AABB-F82EABDEE7B0}">
  <dimension ref="A1:L27"/>
  <sheetViews>
    <sheetView topLeftCell="A4" workbookViewId="0">
      <selection activeCell="A22" sqref="A22:L27"/>
    </sheetView>
  </sheetViews>
  <sheetFormatPr baseColWidth="10" defaultRowHeight="15" x14ac:dyDescent="0.25"/>
  <cols>
    <col min="1" max="1" width="8.42578125" customWidth="1"/>
    <col min="3" max="3" width="16" customWidth="1"/>
    <col min="4" max="4" width="15.28515625" bestFit="1" customWidth="1"/>
    <col min="5" max="5" width="14.28515625" customWidth="1"/>
    <col min="6" max="6" width="18" customWidth="1"/>
    <col min="12" max="12" width="16.42578125" customWidth="1"/>
  </cols>
  <sheetData>
    <row r="1" spans="1:12" x14ac:dyDescent="0.25">
      <c r="A1" s="274" t="s">
        <v>289</v>
      </c>
      <c r="B1" s="275"/>
      <c r="C1" s="275"/>
      <c r="D1" s="275"/>
      <c r="E1" s="5"/>
      <c r="F1" s="5"/>
      <c r="G1" s="275"/>
      <c r="H1" s="275"/>
      <c r="I1" s="275"/>
      <c r="J1" s="275" t="s">
        <v>203</v>
      </c>
      <c r="K1" s="275"/>
      <c r="L1" s="276"/>
    </row>
    <row r="2" spans="1:12" x14ac:dyDescent="0.25">
      <c r="A2" s="7"/>
      <c r="B2" s="2"/>
      <c r="C2" s="2"/>
      <c r="D2" s="13"/>
      <c r="E2" s="2"/>
      <c r="F2" s="2"/>
      <c r="G2" s="13"/>
      <c r="H2" s="13"/>
      <c r="I2" s="13"/>
      <c r="J2" s="13" t="s">
        <v>204</v>
      </c>
      <c r="K2" s="13"/>
      <c r="L2" s="14"/>
    </row>
    <row r="3" spans="1:12" x14ac:dyDescent="0.25">
      <c r="A3" s="316"/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17"/>
    </row>
    <row r="4" spans="1:12" x14ac:dyDescent="0.25">
      <c r="A4" s="12" t="s">
        <v>290</v>
      </c>
      <c r="B4" s="2"/>
      <c r="C4" s="2"/>
      <c r="D4" s="13"/>
      <c r="E4" s="13"/>
      <c r="F4" s="13"/>
      <c r="G4" s="13"/>
      <c r="H4" s="13"/>
      <c r="I4" s="13"/>
      <c r="J4" s="13" t="s">
        <v>291</v>
      </c>
      <c r="K4" s="2"/>
      <c r="L4" s="6"/>
    </row>
    <row r="5" spans="1:12" ht="23.25" x14ac:dyDescent="0.25">
      <c r="A5" s="326" t="s">
        <v>309</v>
      </c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8"/>
    </row>
    <row r="6" spans="1:12" ht="24" thickBot="1" x14ac:dyDescent="0.3">
      <c r="A6" s="218"/>
      <c r="B6" s="20"/>
      <c r="C6" s="20"/>
      <c r="D6" s="20"/>
      <c r="E6" s="20"/>
      <c r="F6" s="20"/>
      <c r="G6" s="20"/>
      <c r="H6" s="20"/>
      <c r="I6" s="20"/>
      <c r="J6" s="20"/>
      <c r="K6" s="20"/>
      <c r="L6" s="219"/>
    </row>
    <row r="7" spans="1:12" ht="15.75" customHeight="1" thickTop="1" x14ac:dyDescent="0.25">
      <c r="A7" s="369" t="s">
        <v>304</v>
      </c>
      <c r="B7" s="370"/>
      <c r="C7" s="370"/>
      <c r="D7" s="370"/>
      <c r="E7" s="371"/>
      <c r="F7" s="335" t="s">
        <v>4</v>
      </c>
      <c r="G7" s="336"/>
      <c r="H7" s="335" t="s">
        <v>5</v>
      </c>
      <c r="I7" s="336"/>
      <c r="J7" s="335" t="s">
        <v>60</v>
      </c>
      <c r="K7" s="347"/>
      <c r="L7" s="348"/>
    </row>
    <row r="8" spans="1:12" ht="15.75" thickBot="1" x14ac:dyDescent="0.3">
      <c r="A8" s="372"/>
      <c r="B8" s="373"/>
      <c r="C8" s="373"/>
      <c r="D8" s="373"/>
      <c r="E8" s="374"/>
      <c r="F8" s="337"/>
      <c r="G8" s="338"/>
      <c r="H8" s="337"/>
      <c r="I8" s="338"/>
      <c r="J8" s="337"/>
      <c r="K8" s="349"/>
      <c r="L8" s="350"/>
    </row>
    <row r="9" spans="1:12" ht="16.5" thickTop="1" thickBot="1" x14ac:dyDescent="0.3">
      <c r="A9" s="375" t="s">
        <v>274</v>
      </c>
      <c r="B9" s="376"/>
      <c r="C9" s="377" t="s">
        <v>0</v>
      </c>
      <c r="D9" s="378"/>
      <c r="E9" s="376"/>
      <c r="F9" s="339"/>
      <c r="G9" s="340"/>
      <c r="H9" s="339"/>
      <c r="I9" s="340"/>
      <c r="J9" s="339"/>
      <c r="K9" s="351"/>
      <c r="L9" s="352"/>
    </row>
    <row r="10" spans="1:12" ht="16.5" customHeight="1" thickTop="1" thickBot="1" x14ac:dyDescent="0.3">
      <c r="A10" s="309" t="s">
        <v>308</v>
      </c>
      <c r="B10" s="310"/>
      <c r="C10" s="364" t="s">
        <v>310</v>
      </c>
      <c r="D10" s="365"/>
      <c r="E10" s="366"/>
      <c r="F10" s="353" t="s">
        <v>292</v>
      </c>
      <c r="G10" s="393"/>
      <c r="H10" s="395" t="s">
        <v>295</v>
      </c>
      <c r="I10" s="396"/>
      <c r="J10" s="353"/>
      <c r="K10" s="354"/>
      <c r="L10" s="355"/>
    </row>
    <row r="11" spans="1:12" ht="16.5" thickTop="1" thickBot="1" x14ac:dyDescent="0.3">
      <c r="A11" s="309" t="s">
        <v>2</v>
      </c>
      <c r="B11" s="310"/>
      <c r="C11" s="364" t="s">
        <v>280</v>
      </c>
      <c r="D11" s="365"/>
      <c r="E11" s="366"/>
      <c r="F11" s="356"/>
      <c r="G11" s="394"/>
      <c r="H11" s="397"/>
      <c r="I11" s="398"/>
      <c r="J11" s="356"/>
      <c r="K11" s="357"/>
      <c r="L11" s="358"/>
    </row>
    <row r="12" spans="1:12" ht="16.5" thickTop="1" thickBot="1" x14ac:dyDescent="0.3">
      <c r="A12" s="401" t="s">
        <v>3</v>
      </c>
      <c r="B12" s="402"/>
      <c r="C12" s="364" t="s">
        <v>280</v>
      </c>
      <c r="D12" s="365"/>
      <c r="E12" s="366"/>
      <c r="F12" s="359"/>
      <c r="G12" s="319"/>
      <c r="H12" s="399"/>
      <c r="I12" s="400"/>
      <c r="J12" s="359"/>
      <c r="K12" s="360"/>
      <c r="L12" s="361"/>
    </row>
    <row r="13" spans="1:12" ht="15.75" thickBot="1" x14ac:dyDescent="0.3">
      <c r="A13" s="7"/>
      <c r="B13" s="67"/>
      <c r="C13" s="70"/>
      <c r="D13" s="70"/>
      <c r="E13" s="70"/>
      <c r="F13" s="70"/>
      <c r="G13" s="70"/>
      <c r="H13" s="70"/>
      <c r="I13" s="70"/>
      <c r="J13" s="2"/>
      <c r="K13" s="2"/>
      <c r="L13" s="222"/>
    </row>
    <row r="14" spans="1:12" ht="16.5" customHeight="1" thickTop="1" thickBot="1" x14ac:dyDescent="0.3">
      <c r="A14" s="288" t="s">
        <v>26</v>
      </c>
      <c r="B14" s="288" t="s">
        <v>199</v>
      </c>
      <c r="C14" s="403" t="s">
        <v>7</v>
      </c>
      <c r="D14" s="384" t="s">
        <v>8</v>
      </c>
      <c r="E14" s="384" t="s">
        <v>61</v>
      </c>
      <c r="F14" s="384" t="s">
        <v>10</v>
      </c>
      <c r="G14" s="384" t="s">
        <v>9</v>
      </c>
      <c r="H14" s="384" t="s">
        <v>11</v>
      </c>
      <c r="I14" s="386" t="s">
        <v>12</v>
      </c>
      <c r="J14" s="314" t="s">
        <v>200</v>
      </c>
      <c r="K14" s="315"/>
      <c r="L14" s="388" t="s">
        <v>13</v>
      </c>
    </row>
    <row r="15" spans="1:12" ht="27" customHeight="1" thickBot="1" x14ac:dyDescent="0.3">
      <c r="A15" s="289"/>
      <c r="B15" s="289"/>
      <c r="C15" s="404"/>
      <c r="D15" s="385"/>
      <c r="E15" s="385"/>
      <c r="F15" s="385"/>
      <c r="G15" s="385"/>
      <c r="H15" s="385"/>
      <c r="I15" s="387"/>
      <c r="J15" s="265" t="s">
        <v>201</v>
      </c>
      <c r="K15" s="265" t="s">
        <v>202</v>
      </c>
      <c r="L15" s="389"/>
    </row>
    <row r="16" spans="1:12" ht="31.5" thickTop="1" thickBot="1" x14ac:dyDescent="0.3">
      <c r="A16" s="277">
        <v>1</v>
      </c>
      <c r="B16" s="286">
        <v>244438</v>
      </c>
      <c r="C16" s="266"/>
      <c r="D16" s="280"/>
      <c r="E16" s="285" t="s">
        <v>311</v>
      </c>
      <c r="F16" s="281" t="s">
        <v>312</v>
      </c>
      <c r="G16" s="269">
        <v>200</v>
      </c>
      <c r="H16" s="278">
        <v>885</v>
      </c>
      <c r="I16" s="283">
        <f>G16*H16</f>
        <v>177000</v>
      </c>
      <c r="J16" s="266" t="s">
        <v>279</v>
      </c>
      <c r="K16" s="96"/>
      <c r="L16" s="220"/>
    </row>
    <row r="17" spans="1:12" ht="16.5" thickTop="1" thickBot="1" x14ac:dyDescent="0.3">
      <c r="A17" s="268">
        <v>2</v>
      </c>
      <c r="B17" s="286">
        <v>244117</v>
      </c>
      <c r="C17" s="272"/>
      <c r="D17" s="67"/>
      <c r="E17" s="98" t="s">
        <v>305</v>
      </c>
      <c r="F17" s="281" t="s">
        <v>306</v>
      </c>
      <c r="G17" s="282">
        <v>150</v>
      </c>
      <c r="H17" s="282">
        <v>4531</v>
      </c>
      <c r="I17" s="269">
        <f>G17*H17</f>
        <v>679650</v>
      </c>
      <c r="J17" s="266" t="s">
        <v>279</v>
      </c>
      <c r="K17" s="266" t="s">
        <v>280</v>
      </c>
      <c r="L17" s="6"/>
    </row>
    <row r="18" spans="1:12" ht="16.5" thickTop="1" thickBot="1" x14ac:dyDescent="0.3">
      <c r="A18" s="251"/>
      <c r="B18" s="254"/>
      <c r="C18" s="96"/>
      <c r="D18" s="96"/>
      <c r="E18" s="97"/>
      <c r="F18" s="97"/>
      <c r="G18" s="97"/>
      <c r="H18" s="97"/>
      <c r="I18" s="284">
        <f>SUM(I16:I17)</f>
        <v>856650</v>
      </c>
      <c r="J18" s="96"/>
      <c r="K18" s="96"/>
      <c r="L18" s="220"/>
    </row>
    <row r="19" spans="1:12" ht="16.5" thickTop="1" thickBot="1" x14ac:dyDescent="0.3">
      <c r="A19" s="390"/>
      <c r="B19" s="391"/>
      <c r="C19" s="391"/>
      <c r="D19" s="391"/>
      <c r="E19" s="391"/>
      <c r="F19" s="391"/>
      <c r="G19" s="391"/>
      <c r="H19" s="392"/>
      <c r="I19" s="279"/>
      <c r="J19" s="217"/>
      <c r="K19" s="217"/>
      <c r="L19" s="221"/>
    </row>
    <row r="20" spans="1:12" ht="15.75" thickBot="1" x14ac:dyDescent="0.3">
      <c r="A20" s="379" t="s">
        <v>307</v>
      </c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1"/>
    </row>
    <row r="21" spans="1:12" x14ac:dyDescent="0.25">
      <c r="A21" s="297" t="s">
        <v>150</v>
      </c>
      <c r="B21" s="297"/>
      <c r="C21" s="297"/>
      <c r="D21" s="13"/>
      <c r="G21" s="382"/>
      <c r="H21" s="382"/>
      <c r="I21" s="382" t="s">
        <v>147</v>
      </c>
      <c r="J21" s="382"/>
      <c r="K21" s="382"/>
      <c r="L21" s="383"/>
    </row>
    <row r="22" spans="1:12" x14ac:dyDescent="0.25">
      <c r="A22" s="290"/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2"/>
    </row>
    <row r="23" spans="1:12" x14ac:dyDescent="0.25">
      <c r="A23" s="290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2"/>
    </row>
    <row r="24" spans="1:12" x14ac:dyDescent="0.25">
      <c r="A24" s="290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2"/>
    </row>
    <row r="25" spans="1:12" x14ac:dyDescent="0.25">
      <c r="A25" s="290"/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2"/>
    </row>
    <row r="26" spans="1:12" x14ac:dyDescent="0.25">
      <c r="A26" s="12"/>
      <c r="B26" s="15"/>
      <c r="C26" s="18"/>
      <c r="D26" s="18"/>
      <c r="E26" s="18"/>
      <c r="F26" s="267"/>
      <c r="G26" s="302"/>
      <c r="H26" s="302"/>
      <c r="I26" s="301"/>
      <c r="J26" s="301"/>
      <c r="K26" s="301"/>
      <c r="L26" s="317"/>
    </row>
    <row r="27" spans="1:12" ht="15.75" thickBot="1" x14ac:dyDescent="0.3">
      <c r="A27" s="298"/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300"/>
    </row>
  </sheetData>
  <mergeCells count="37">
    <mergeCell ref="F14:F15"/>
    <mergeCell ref="F10:G12"/>
    <mergeCell ref="H10:I12"/>
    <mergeCell ref="J10:L12"/>
    <mergeCell ref="A11:B11"/>
    <mergeCell ref="C11:E11"/>
    <mergeCell ref="A12:B12"/>
    <mergeCell ref="C12:E12"/>
    <mergeCell ref="A14:A15"/>
    <mergeCell ref="B14:B15"/>
    <mergeCell ref="C14:C15"/>
    <mergeCell ref="D14:D15"/>
    <mergeCell ref="E14:E15"/>
    <mergeCell ref="A20:L20"/>
    <mergeCell ref="A10:B10"/>
    <mergeCell ref="C10:E10"/>
    <mergeCell ref="A27:L27"/>
    <mergeCell ref="A21:C21"/>
    <mergeCell ref="G21:H21"/>
    <mergeCell ref="I21:L21"/>
    <mergeCell ref="A22:L25"/>
    <mergeCell ref="G26:H26"/>
    <mergeCell ref="I26:L26"/>
    <mergeCell ref="G14:G15"/>
    <mergeCell ref="H14:H15"/>
    <mergeCell ref="I14:I15"/>
    <mergeCell ref="J14:K14"/>
    <mergeCell ref="L14:L15"/>
    <mergeCell ref="A19:H19"/>
    <mergeCell ref="A3:L3"/>
    <mergeCell ref="A5:L5"/>
    <mergeCell ref="A7:E8"/>
    <mergeCell ref="F7:G9"/>
    <mergeCell ref="H7:I9"/>
    <mergeCell ref="J7:L9"/>
    <mergeCell ref="A9:B9"/>
    <mergeCell ref="C9:E9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selection activeCell="K8" sqref="K8"/>
    </sheetView>
  </sheetViews>
  <sheetFormatPr baseColWidth="10" defaultRowHeight="15" x14ac:dyDescent="0.25"/>
  <cols>
    <col min="1" max="1" width="15.28515625" customWidth="1"/>
    <col min="2" max="2" width="18.42578125" customWidth="1"/>
    <col min="3" max="3" width="26.5703125" customWidth="1"/>
    <col min="4" max="4" width="15.7109375" customWidth="1"/>
    <col min="5" max="5" width="12.5703125" customWidth="1"/>
    <col min="6" max="6" width="4.5703125" customWidth="1"/>
    <col min="7" max="7" width="11.7109375" customWidth="1"/>
    <col min="8" max="8" width="4" customWidth="1"/>
    <col min="9" max="9" width="19.42578125" customWidth="1"/>
  </cols>
  <sheetData>
    <row r="1" spans="1:9" x14ac:dyDescent="0.25">
      <c r="A1" s="21" t="s">
        <v>146</v>
      </c>
      <c r="B1" s="22"/>
      <c r="C1" s="22"/>
      <c r="D1" s="22"/>
      <c r="E1" s="22"/>
      <c r="F1" s="22"/>
      <c r="G1" s="382" t="s">
        <v>35</v>
      </c>
      <c r="H1" s="382"/>
      <c r="I1" s="383"/>
    </row>
    <row r="2" spans="1:9" x14ac:dyDescent="0.25">
      <c r="A2" s="19"/>
      <c r="B2" s="18"/>
      <c r="C2" s="18"/>
      <c r="D2" s="18"/>
      <c r="E2" s="18"/>
      <c r="F2" s="18"/>
      <c r="G2" s="301" t="s">
        <v>207</v>
      </c>
      <c r="H2" s="301"/>
      <c r="I2" s="317"/>
    </row>
    <row r="3" spans="1:9" x14ac:dyDescent="0.25">
      <c r="A3" s="304"/>
      <c r="B3" s="303"/>
      <c r="C3" s="303"/>
      <c r="D3" s="303"/>
      <c r="E3" s="303"/>
      <c r="F3" s="303"/>
      <c r="G3" s="303"/>
      <c r="H3" s="303"/>
      <c r="I3" s="441"/>
    </row>
    <row r="4" spans="1:9" x14ac:dyDescent="0.25">
      <c r="A4" s="316" t="s">
        <v>254</v>
      </c>
      <c r="B4" s="301"/>
      <c r="C4" s="18"/>
      <c r="D4" s="18"/>
      <c r="E4" s="18"/>
      <c r="F4" s="18"/>
      <c r="G4" s="301" t="s">
        <v>208</v>
      </c>
      <c r="H4" s="301"/>
      <c r="I4" s="317"/>
    </row>
    <row r="5" spans="1:9" ht="23.25" x14ac:dyDescent="0.25">
      <c r="A5" s="326" t="s">
        <v>77</v>
      </c>
      <c r="B5" s="327"/>
      <c r="C5" s="327"/>
      <c r="D5" s="327"/>
      <c r="E5" s="327"/>
      <c r="F5" s="327"/>
      <c r="G5" s="327"/>
      <c r="H5" s="327"/>
      <c r="I5" s="328"/>
    </row>
    <row r="6" spans="1:9" ht="15.75" thickBot="1" x14ac:dyDescent="0.3">
      <c r="A6" s="7"/>
      <c r="B6" s="2"/>
      <c r="C6" s="2"/>
      <c r="D6" s="2"/>
      <c r="E6" s="2"/>
      <c r="F6" s="2"/>
      <c r="G6" s="2"/>
      <c r="H6" s="2"/>
      <c r="I6" s="6"/>
    </row>
    <row r="7" spans="1:9" ht="15.75" thickBot="1" x14ac:dyDescent="0.3">
      <c r="A7" s="427" t="s">
        <v>18</v>
      </c>
      <c r="B7" s="428"/>
      <c r="C7" s="428"/>
      <c r="D7" s="429"/>
      <c r="E7" s="424" t="s">
        <v>19</v>
      </c>
      <c r="F7" s="425"/>
      <c r="G7" s="425"/>
      <c r="H7" s="425"/>
      <c r="I7" s="426"/>
    </row>
    <row r="8" spans="1:9" ht="34.5" customHeight="1" thickBot="1" x14ac:dyDescent="0.3">
      <c r="A8" s="102" t="s">
        <v>75</v>
      </c>
      <c r="B8" s="103"/>
      <c r="C8" s="103"/>
      <c r="D8" s="103"/>
      <c r="E8" s="421" t="s">
        <v>76</v>
      </c>
      <c r="F8" s="422"/>
      <c r="G8" s="422"/>
      <c r="H8" s="422"/>
      <c r="I8" s="423"/>
    </row>
    <row r="9" spans="1:9" ht="15" customHeight="1" thickBot="1" x14ac:dyDescent="0.3">
      <c r="A9" s="430" t="s">
        <v>26</v>
      </c>
      <c r="B9" s="436" t="s">
        <v>252</v>
      </c>
      <c r="C9" s="432" t="s">
        <v>20</v>
      </c>
      <c r="D9" s="438"/>
      <c r="E9" s="439" t="s">
        <v>198</v>
      </c>
      <c r="F9" s="433"/>
      <c r="G9" s="432" t="s">
        <v>206</v>
      </c>
      <c r="H9" s="433"/>
      <c r="I9" s="417" t="s">
        <v>13</v>
      </c>
    </row>
    <row r="10" spans="1:9" ht="29.25" customHeight="1" thickTop="1" thickBot="1" x14ac:dyDescent="0.3">
      <c r="A10" s="431"/>
      <c r="B10" s="437"/>
      <c r="C10" s="387"/>
      <c r="D10" s="389"/>
      <c r="E10" s="440"/>
      <c r="F10" s="435"/>
      <c r="G10" s="434"/>
      <c r="H10" s="435"/>
      <c r="I10" s="418"/>
    </row>
    <row r="11" spans="1:9" ht="16.5" thickTop="1" thickBot="1" x14ac:dyDescent="0.3">
      <c r="A11" s="109"/>
      <c r="B11" s="97"/>
      <c r="C11" s="364"/>
      <c r="D11" s="366"/>
      <c r="E11" s="419"/>
      <c r="F11" s="420"/>
      <c r="G11" s="419"/>
      <c r="H11" s="420"/>
      <c r="I11" s="167"/>
    </row>
    <row r="12" spans="1:9" ht="16.5" thickTop="1" thickBot="1" x14ac:dyDescent="0.3">
      <c r="A12" s="109"/>
      <c r="B12" s="97"/>
      <c r="C12" s="364"/>
      <c r="D12" s="366"/>
      <c r="E12" s="364"/>
      <c r="F12" s="366"/>
      <c r="G12" s="364"/>
      <c r="H12" s="366"/>
      <c r="I12" s="95"/>
    </row>
    <row r="13" spans="1:9" ht="16.5" thickTop="1" thickBot="1" x14ac:dyDescent="0.3">
      <c r="A13" s="406" t="s">
        <v>209</v>
      </c>
      <c r="B13" s="365"/>
      <c r="C13" s="365"/>
      <c r="D13" s="365"/>
      <c r="E13" s="365"/>
      <c r="F13" s="365"/>
      <c r="G13" s="365"/>
      <c r="H13" s="365"/>
      <c r="I13" s="407"/>
    </row>
    <row r="14" spans="1:9" ht="16.5" thickTop="1" thickBot="1" x14ac:dyDescent="0.3">
      <c r="A14" s="109"/>
      <c r="B14" s="97"/>
      <c r="C14" s="364"/>
      <c r="D14" s="366"/>
      <c r="E14" s="364"/>
      <c r="F14" s="366"/>
      <c r="G14" s="364"/>
      <c r="H14" s="366"/>
      <c r="I14" s="95"/>
    </row>
    <row r="15" spans="1:9" ht="16.5" thickTop="1" thickBot="1" x14ac:dyDescent="0.3">
      <c r="A15" s="109"/>
      <c r="B15" s="97"/>
      <c r="C15" s="364"/>
      <c r="D15" s="366"/>
      <c r="E15" s="364"/>
      <c r="F15" s="366"/>
      <c r="G15" s="364"/>
      <c r="H15" s="366"/>
      <c r="I15" s="95"/>
    </row>
    <row r="16" spans="1:9" ht="16.5" thickTop="1" thickBot="1" x14ac:dyDescent="0.3">
      <c r="A16" s="109"/>
      <c r="B16" s="97"/>
      <c r="C16" s="364"/>
      <c r="D16" s="366"/>
      <c r="E16" s="364"/>
      <c r="F16" s="366"/>
      <c r="G16" s="364"/>
      <c r="H16" s="366"/>
      <c r="I16" s="95"/>
    </row>
    <row r="17" spans="1:11" ht="16.5" thickTop="1" thickBot="1" x14ac:dyDescent="0.3">
      <c r="A17" s="406" t="s">
        <v>209</v>
      </c>
      <c r="B17" s="365"/>
      <c r="C17" s="365"/>
      <c r="D17" s="365"/>
      <c r="E17" s="365"/>
      <c r="F17" s="365"/>
      <c r="G17" s="365"/>
      <c r="H17" s="365"/>
      <c r="I17" s="407"/>
    </row>
    <row r="18" spans="1:11" ht="16.5" thickTop="1" thickBot="1" x14ac:dyDescent="0.3">
      <c r="A18" s="168"/>
      <c r="B18" s="104"/>
      <c r="C18" s="405"/>
      <c r="D18" s="392"/>
      <c r="E18" s="405"/>
      <c r="F18" s="392"/>
      <c r="G18" s="405"/>
      <c r="H18" s="392"/>
      <c r="I18" s="169"/>
    </row>
    <row r="19" spans="1:11" ht="15.75" thickBot="1" x14ac:dyDescent="0.3">
      <c r="A19" s="414" t="s">
        <v>210</v>
      </c>
      <c r="B19" s="415"/>
      <c r="C19" s="415"/>
      <c r="D19" s="415"/>
      <c r="E19" s="415"/>
      <c r="F19" s="415"/>
      <c r="G19" s="415"/>
      <c r="H19" s="415"/>
      <c r="I19" s="416"/>
    </row>
    <row r="20" spans="1:11" ht="34.5" customHeight="1" x14ac:dyDescent="0.25">
      <c r="A20" s="170" t="s">
        <v>151</v>
      </c>
      <c r="B20" s="410" t="s">
        <v>74</v>
      </c>
      <c r="C20" s="410"/>
      <c r="D20" s="410" t="s">
        <v>150</v>
      </c>
      <c r="E20" s="410"/>
      <c r="F20" s="410"/>
      <c r="G20" s="410"/>
      <c r="H20" s="410" t="s">
        <v>147</v>
      </c>
      <c r="I20" s="412"/>
    </row>
    <row r="21" spans="1:11" x14ac:dyDescent="0.25">
      <c r="A21" s="290"/>
      <c r="B21" s="291"/>
      <c r="C21" s="291"/>
      <c r="D21" s="291"/>
      <c r="E21" s="291"/>
      <c r="F21" s="291"/>
      <c r="G21" s="291"/>
      <c r="H21" s="291"/>
      <c r="I21" s="292"/>
    </row>
    <row r="22" spans="1:11" x14ac:dyDescent="0.25">
      <c r="A22" s="290"/>
      <c r="B22" s="291"/>
      <c r="C22" s="291"/>
      <c r="D22" s="291"/>
      <c r="E22" s="291"/>
      <c r="F22" s="291"/>
      <c r="G22" s="291"/>
      <c r="H22" s="291"/>
      <c r="I22" s="292"/>
    </row>
    <row r="23" spans="1:11" x14ac:dyDescent="0.25">
      <c r="A23" s="290"/>
      <c r="B23" s="291"/>
      <c r="C23" s="291"/>
      <c r="D23" s="291"/>
      <c r="E23" s="291"/>
      <c r="F23" s="291"/>
      <c r="G23" s="291"/>
      <c r="H23" s="291"/>
      <c r="I23" s="292"/>
    </row>
    <row r="24" spans="1:11" x14ac:dyDescent="0.25">
      <c r="A24" s="290"/>
      <c r="B24" s="291"/>
      <c r="C24" s="291"/>
      <c r="D24" s="291"/>
      <c r="E24" s="291"/>
      <c r="F24" s="291"/>
      <c r="G24" s="291"/>
      <c r="H24" s="291"/>
      <c r="I24" s="292"/>
    </row>
    <row r="25" spans="1:11" x14ac:dyDescent="0.25">
      <c r="A25" s="290"/>
      <c r="B25" s="291"/>
      <c r="C25" s="291"/>
      <c r="D25" s="291"/>
      <c r="E25" s="291"/>
      <c r="F25" s="291"/>
      <c r="G25" s="291"/>
      <c r="H25" s="291"/>
      <c r="I25" s="292"/>
    </row>
    <row r="26" spans="1:11" x14ac:dyDescent="0.25">
      <c r="A26" s="290"/>
      <c r="B26" s="291"/>
      <c r="C26" s="291"/>
      <c r="D26" s="291"/>
      <c r="E26" s="291"/>
      <c r="F26" s="291"/>
      <c r="G26" s="291"/>
      <c r="H26" s="291"/>
      <c r="I26" s="292"/>
    </row>
    <row r="27" spans="1:11" x14ac:dyDescent="0.25">
      <c r="A27" s="173" t="s">
        <v>62</v>
      </c>
      <c r="B27" s="411" t="s">
        <v>152</v>
      </c>
      <c r="C27" s="411"/>
      <c r="D27" s="411" t="s">
        <v>62</v>
      </c>
      <c r="E27" s="411"/>
      <c r="F27" s="411"/>
      <c r="G27" s="411"/>
      <c r="H27" s="411" t="s">
        <v>62</v>
      </c>
      <c r="I27" s="413"/>
      <c r="J27" s="3"/>
      <c r="K27" s="18"/>
    </row>
    <row r="28" spans="1:11" ht="15.75" thickBot="1" x14ac:dyDescent="0.3">
      <c r="A28" s="408"/>
      <c r="B28" s="367"/>
      <c r="C28" s="367"/>
      <c r="D28" s="367"/>
      <c r="E28" s="367"/>
      <c r="F28" s="367"/>
      <c r="G28" s="367"/>
      <c r="H28" s="367"/>
      <c r="I28" s="409"/>
    </row>
  </sheetData>
  <mergeCells count="44">
    <mergeCell ref="A3:I3"/>
    <mergeCell ref="A5:I5"/>
    <mergeCell ref="G1:I1"/>
    <mergeCell ref="G2:I2"/>
    <mergeCell ref="A4:B4"/>
    <mergeCell ref="G4:I4"/>
    <mergeCell ref="E8:I8"/>
    <mergeCell ref="E7:I7"/>
    <mergeCell ref="A7:D7"/>
    <mergeCell ref="G16:H16"/>
    <mergeCell ref="A9:A10"/>
    <mergeCell ref="G9:H10"/>
    <mergeCell ref="B9:B10"/>
    <mergeCell ref="C9:D10"/>
    <mergeCell ref="C11:D11"/>
    <mergeCell ref="C12:D12"/>
    <mergeCell ref="C14:D14"/>
    <mergeCell ref="E9:F10"/>
    <mergeCell ref="E11:F11"/>
    <mergeCell ref="E12:F12"/>
    <mergeCell ref="E14:F14"/>
    <mergeCell ref="E15:F15"/>
    <mergeCell ref="I9:I10"/>
    <mergeCell ref="G11:H11"/>
    <mergeCell ref="G12:H12"/>
    <mergeCell ref="G14:H14"/>
    <mergeCell ref="G15:H15"/>
    <mergeCell ref="A28:I28"/>
    <mergeCell ref="B20:C20"/>
    <mergeCell ref="B27:C27"/>
    <mergeCell ref="G18:H18"/>
    <mergeCell ref="D20:G20"/>
    <mergeCell ref="H20:I20"/>
    <mergeCell ref="H27:I27"/>
    <mergeCell ref="D27:G27"/>
    <mergeCell ref="A21:I26"/>
    <mergeCell ref="A19:I19"/>
    <mergeCell ref="C15:D15"/>
    <mergeCell ref="C16:D16"/>
    <mergeCell ref="C18:D18"/>
    <mergeCell ref="A13:I13"/>
    <mergeCell ref="A17:I17"/>
    <mergeCell ref="E18:F18"/>
    <mergeCell ref="E16:F16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topLeftCell="A7" workbookViewId="0">
      <selection activeCell="K18" sqref="K18"/>
    </sheetView>
  </sheetViews>
  <sheetFormatPr baseColWidth="10" defaultRowHeight="15" x14ac:dyDescent="0.25"/>
  <cols>
    <col min="1" max="1" width="7.5703125" customWidth="1"/>
    <col min="2" max="2" width="18.7109375" customWidth="1"/>
    <col min="3" max="3" width="27.85546875" customWidth="1"/>
    <col min="4" max="4" width="18.85546875" customWidth="1"/>
    <col min="5" max="5" width="13.140625" customWidth="1"/>
    <col min="6" max="6" width="14.28515625" customWidth="1"/>
    <col min="7" max="7" width="2.5703125" customWidth="1"/>
    <col min="8" max="8" width="27.5703125" customWidth="1"/>
  </cols>
  <sheetData>
    <row r="1" spans="1:8" x14ac:dyDescent="0.25">
      <c r="A1" s="21" t="s">
        <v>146</v>
      </c>
      <c r="B1" s="22"/>
      <c r="C1" s="22"/>
      <c r="D1" s="5"/>
      <c r="E1" s="5"/>
      <c r="F1" s="5"/>
      <c r="G1" s="5"/>
      <c r="H1" s="165" t="s">
        <v>35</v>
      </c>
    </row>
    <row r="2" spans="1:8" x14ac:dyDescent="0.25">
      <c r="A2" s="19"/>
      <c r="B2" s="18"/>
      <c r="C2" s="18"/>
      <c r="D2" s="2"/>
      <c r="E2" s="2"/>
      <c r="F2" s="2"/>
      <c r="G2" s="2"/>
      <c r="H2" s="208" t="s">
        <v>53</v>
      </c>
    </row>
    <row r="3" spans="1:8" x14ac:dyDescent="0.25">
      <c r="A3" s="19"/>
      <c r="B3" s="18"/>
      <c r="C3" s="18"/>
      <c r="D3" s="13"/>
      <c r="E3" s="2"/>
      <c r="F3" s="2"/>
      <c r="G3" s="2"/>
      <c r="H3" s="6"/>
    </row>
    <row r="4" spans="1:8" x14ac:dyDescent="0.25">
      <c r="A4" s="12" t="s">
        <v>255</v>
      </c>
      <c r="B4" s="13"/>
      <c r="C4" s="13"/>
      <c r="D4" s="13"/>
      <c r="E4" s="2"/>
      <c r="F4" s="2"/>
      <c r="G4" s="2"/>
      <c r="H4" s="14" t="s">
        <v>224</v>
      </c>
    </row>
    <row r="5" spans="1:8" ht="23.25" x14ac:dyDescent="0.25">
      <c r="A5" s="326" t="s">
        <v>23</v>
      </c>
      <c r="B5" s="327"/>
      <c r="C5" s="327"/>
      <c r="D5" s="327"/>
      <c r="E5" s="327"/>
      <c r="F5" s="327"/>
      <c r="G5" s="327"/>
      <c r="H5" s="328"/>
    </row>
    <row r="6" spans="1:8" x14ac:dyDescent="0.25">
      <c r="A6" s="7"/>
      <c r="B6" s="2"/>
      <c r="C6" s="2"/>
      <c r="D6" s="2"/>
      <c r="E6" s="2"/>
      <c r="F6" s="2"/>
      <c r="G6" s="2"/>
      <c r="H6" s="6"/>
    </row>
    <row r="7" spans="1:8" ht="15.75" thickBot="1" x14ac:dyDescent="0.3">
      <c r="A7" s="444" t="s">
        <v>18</v>
      </c>
      <c r="B7" s="445"/>
      <c r="C7" s="445"/>
      <c r="D7" s="445"/>
      <c r="E7" s="446"/>
      <c r="F7" s="447" t="s">
        <v>19</v>
      </c>
      <c r="G7" s="448"/>
      <c r="H7" s="449"/>
    </row>
    <row r="8" spans="1:8" ht="34.5" customHeight="1" thickTop="1" thickBot="1" x14ac:dyDescent="0.3">
      <c r="A8" s="102" t="s">
        <v>67</v>
      </c>
      <c r="B8" s="103"/>
      <c r="C8" s="103"/>
      <c r="D8" s="103"/>
      <c r="E8" s="103"/>
      <c r="F8" s="421" t="s">
        <v>25</v>
      </c>
      <c r="G8" s="422"/>
      <c r="H8" s="423"/>
    </row>
    <row r="9" spans="1:8" ht="34.5" customHeight="1" thickTop="1" thickBot="1" x14ac:dyDescent="0.3">
      <c r="A9" s="451" t="s">
        <v>64</v>
      </c>
      <c r="B9" s="452"/>
      <c r="C9" s="452"/>
      <c r="D9" s="452"/>
      <c r="E9" s="452"/>
      <c r="F9" s="452"/>
      <c r="G9" s="452"/>
      <c r="H9" s="453"/>
    </row>
    <row r="10" spans="1:8" ht="16.5" thickTop="1" thickBot="1" x14ac:dyDescent="0.3">
      <c r="A10" s="7"/>
      <c r="B10" s="2"/>
      <c r="C10" s="2"/>
      <c r="D10" s="2"/>
      <c r="E10" s="2"/>
      <c r="F10" s="2"/>
      <c r="G10" s="2"/>
      <c r="H10" s="6"/>
    </row>
    <row r="11" spans="1:8" ht="15" customHeight="1" thickTop="1" thickBot="1" x14ac:dyDescent="0.3">
      <c r="A11" s="431" t="s">
        <v>251</v>
      </c>
      <c r="B11" s="431" t="s">
        <v>252</v>
      </c>
      <c r="C11" s="437" t="s">
        <v>20</v>
      </c>
      <c r="D11" s="437" t="s">
        <v>9</v>
      </c>
      <c r="E11" s="437" t="s">
        <v>11</v>
      </c>
      <c r="F11" s="386" t="s">
        <v>12</v>
      </c>
      <c r="G11" s="454"/>
      <c r="H11" s="450" t="s">
        <v>13</v>
      </c>
    </row>
    <row r="12" spans="1:8" ht="29.25" customHeight="1" thickTop="1" thickBot="1" x14ac:dyDescent="0.3">
      <c r="A12" s="431"/>
      <c r="B12" s="431"/>
      <c r="C12" s="437"/>
      <c r="D12" s="437"/>
      <c r="E12" s="437"/>
      <c r="F12" s="387"/>
      <c r="G12" s="455"/>
      <c r="H12" s="450"/>
    </row>
    <row r="13" spans="1:8" ht="16.5" thickTop="1" thickBot="1" x14ac:dyDescent="0.3">
      <c r="A13" s="195"/>
      <c r="B13" s="96"/>
      <c r="C13" s="97"/>
      <c r="D13" s="97"/>
      <c r="E13" s="97"/>
      <c r="F13" s="364"/>
      <c r="G13" s="366"/>
      <c r="H13" s="95"/>
    </row>
    <row r="14" spans="1:8" ht="16.5" thickTop="1" thickBot="1" x14ac:dyDescent="0.3">
      <c r="A14" s="109"/>
      <c r="B14" s="96"/>
      <c r="C14" s="97"/>
      <c r="D14" s="97"/>
      <c r="E14" s="97"/>
      <c r="F14" s="364"/>
      <c r="G14" s="366"/>
      <c r="H14" s="95"/>
    </row>
    <row r="15" spans="1:8" ht="16.5" thickTop="1" thickBot="1" x14ac:dyDescent="0.3">
      <c r="A15" s="109"/>
      <c r="B15" s="96"/>
      <c r="C15" s="97"/>
      <c r="D15" s="97"/>
      <c r="E15" s="97"/>
      <c r="F15" s="364"/>
      <c r="G15" s="366"/>
      <c r="H15" s="95"/>
    </row>
    <row r="16" spans="1:8" ht="16.5" thickTop="1" thickBot="1" x14ac:dyDescent="0.3">
      <c r="A16" s="109"/>
      <c r="B16" s="96"/>
      <c r="C16" s="97"/>
      <c r="D16" s="97"/>
      <c r="E16" s="97"/>
      <c r="F16" s="364"/>
      <c r="G16" s="366"/>
      <c r="H16" s="95"/>
    </row>
    <row r="17" spans="1:10" ht="16.5" thickTop="1" thickBot="1" x14ac:dyDescent="0.3">
      <c r="A17" s="109"/>
      <c r="B17" s="96"/>
      <c r="C17" s="97"/>
      <c r="D17" s="97"/>
      <c r="E17" s="97"/>
      <c r="F17" s="364"/>
      <c r="G17" s="366"/>
      <c r="H17" s="95"/>
    </row>
    <row r="18" spans="1:10" ht="16.5" thickTop="1" thickBot="1" x14ac:dyDescent="0.3">
      <c r="A18" s="109"/>
      <c r="B18" s="96"/>
      <c r="C18" s="97"/>
      <c r="D18" s="97"/>
      <c r="E18" s="97"/>
      <c r="F18" s="364"/>
      <c r="G18" s="366"/>
      <c r="H18" s="95"/>
    </row>
    <row r="19" spans="1:10" ht="16.5" thickTop="1" thickBot="1" x14ac:dyDescent="0.3">
      <c r="A19" s="109"/>
      <c r="B19" s="96"/>
      <c r="C19" s="97"/>
      <c r="D19" s="97"/>
      <c r="E19" s="97"/>
      <c r="F19" s="364"/>
      <c r="G19" s="366"/>
      <c r="H19" s="95"/>
    </row>
    <row r="20" spans="1:10" ht="16.5" thickTop="1" thickBot="1" x14ac:dyDescent="0.3">
      <c r="A20" s="168"/>
      <c r="B20" s="217"/>
      <c r="C20" s="104"/>
      <c r="D20" s="104"/>
      <c r="E20" s="104"/>
      <c r="F20" s="405"/>
      <c r="G20" s="392"/>
      <c r="H20" s="169"/>
    </row>
    <row r="21" spans="1:10" x14ac:dyDescent="0.25">
      <c r="A21" s="105"/>
      <c r="B21" s="5"/>
      <c r="C21" s="5"/>
      <c r="D21" s="5"/>
      <c r="E21" s="5"/>
      <c r="F21" s="5"/>
      <c r="G21" s="5"/>
      <c r="H21" s="142"/>
    </row>
    <row r="22" spans="1:10" ht="34.5" customHeight="1" x14ac:dyDescent="0.25">
      <c r="A22" s="443" t="s">
        <v>196</v>
      </c>
      <c r="B22" s="410"/>
      <c r="C22" s="410"/>
      <c r="D22" s="410"/>
      <c r="E22" s="410"/>
      <c r="F22" s="410"/>
      <c r="G22" s="3"/>
      <c r="H22" s="171" t="s">
        <v>147</v>
      </c>
    </row>
    <row r="23" spans="1:10" x14ac:dyDescent="0.25">
      <c r="A23" s="7"/>
      <c r="B23" s="2"/>
      <c r="C23" s="2"/>
      <c r="D23" s="2"/>
      <c r="E23" s="2"/>
      <c r="F23" s="2"/>
      <c r="G23" s="2"/>
      <c r="H23" s="6"/>
    </row>
    <row r="24" spans="1:10" x14ac:dyDescent="0.25">
      <c r="A24" s="7"/>
      <c r="B24" s="2"/>
      <c r="C24" s="2"/>
      <c r="D24" s="2"/>
      <c r="E24" s="2"/>
      <c r="F24" s="2"/>
      <c r="G24" s="2"/>
      <c r="H24" s="6"/>
    </row>
    <row r="25" spans="1:10" x14ac:dyDescent="0.25">
      <c r="A25" s="7"/>
      <c r="B25" s="2"/>
      <c r="C25" s="2"/>
      <c r="D25" s="2"/>
      <c r="E25" s="2"/>
      <c r="F25" s="2"/>
      <c r="G25" s="2"/>
      <c r="H25" s="6"/>
    </row>
    <row r="26" spans="1:10" x14ac:dyDescent="0.25">
      <c r="A26" s="442" t="s">
        <v>66</v>
      </c>
      <c r="B26" s="411"/>
      <c r="C26" s="411"/>
      <c r="D26" s="301"/>
      <c r="E26" s="301"/>
      <c r="F26" s="301"/>
      <c r="G26" s="15"/>
      <c r="H26" s="27" t="s">
        <v>65</v>
      </c>
      <c r="I26" s="18"/>
      <c r="J26" s="18"/>
    </row>
    <row r="27" spans="1:10" ht="15.75" thickBot="1" x14ac:dyDescent="0.3">
      <c r="A27" s="9"/>
      <c r="B27" s="10"/>
      <c r="C27" s="10"/>
      <c r="D27" s="10"/>
      <c r="E27" s="10"/>
      <c r="F27" s="10"/>
      <c r="G27" s="10"/>
      <c r="H27" s="11"/>
    </row>
  </sheetData>
  <mergeCells count="24">
    <mergeCell ref="A5:H5"/>
    <mergeCell ref="A7:E7"/>
    <mergeCell ref="F7:H7"/>
    <mergeCell ref="F8:H8"/>
    <mergeCell ref="D11:D12"/>
    <mergeCell ref="E11:E12"/>
    <mergeCell ref="H11:H12"/>
    <mergeCell ref="B11:B12"/>
    <mergeCell ref="C11:C12"/>
    <mergeCell ref="A9:H9"/>
    <mergeCell ref="F11:G12"/>
    <mergeCell ref="A11:A12"/>
    <mergeCell ref="F13:G13"/>
    <mergeCell ref="F14:G14"/>
    <mergeCell ref="A26:C26"/>
    <mergeCell ref="D22:F22"/>
    <mergeCell ref="D26:F26"/>
    <mergeCell ref="F20:G20"/>
    <mergeCell ref="F15:G15"/>
    <mergeCell ref="F16:G16"/>
    <mergeCell ref="F17:G17"/>
    <mergeCell ref="F18:G18"/>
    <mergeCell ref="F19:G19"/>
    <mergeCell ref="A22:C2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>
      <selection activeCell="G12" sqref="G12"/>
    </sheetView>
  </sheetViews>
  <sheetFormatPr baseColWidth="10" defaultRowHeight="15" x14ac:dyDescent="0.25"/>
  <cols>
    <col min="1" max="1" width="34" customWidth="1"/>
    <col min="2" max="2" width="30.42578125" customWidth="1"/>
    <col min="3" max="3" width="15.42578125" customWidth="1"/>
    <col min="4" max="4" width="13.85546875" customWidth="1"/>
    <col min="5" max="5" width="34.140625" customWidth="1"/>
  </cols>
  <sheetData>
    <row r="1" spans="1:5" x14ac:dyDescent="0.25">
      <c r="A1" s="214" t="s">
        <v>146</v>
      </c>
      <c r="B1" s="22"/>
      <c r="C1" s="5"/>
      <c r="D1" s="5"/>
      <c r="E1" s="215" t="s">
        <v>192</v>
      </c>
    </row>
    <row r="2" spans="1:5" x14ac:dyDescent="0.25">
      <c r="A2" s="7"/>
      <c r="B2" s="18"/>
      <c r="C2" s="2"/>
      <c r="D2" s="2"/>
      <c r="E2" s="27" t="s">
        <v>193</v>
      </c>
    </row>
    <row r="3" spans="1:5" x14ac:dyDescent="0.25">
      <c r="A3" s="19"/>
      <c r="B3" s="18"/>
      <c r="C3" s="2"/>
      <c r="D3" s="2"/>
      <c r="E3" s="6"/>
    </row>
    <row r="4" spans="1:5" x14ac:dyDescent="0.25">
      <c r="A4" s="12" t="s">
        <v>253</v>
      </c>
      <c r="B4" s="2"/>
      <c r="C4" s="2"/>
      <c r="D4" s="2"/>
      <c r="E4" s="208" t="s">
        <v>68</v>
      </c>
    </row>
    <row r="5" spans="1:5" x14ac:dyDescent="0.25">
      <c r="A5" s="7"/>
      <c r="B5" s="2"/>
      <c r="C5" s="2"/>
      <c r="D5" s="2"/>
      <c r="E5" s="6"/>
    </row>
    <row r="6" spans="1:5" ht="23.25" x14ac:dyDescent="0.25">
      <c r="A6" s="326" t="s">
        <v>73</v>
      </c>
      <c r="B6" s="327"/>
      <c r="C6" s="327"/>
      <c r="D6" s="327"/>
      <c r="E6" s="328"/>
    </row>
    <row r="7" spans="1:5" ht="15.75" thickBot="1" x14ac:dyDescent="0.3">
      <c r="A7" s="7"/>
      <c r="B7" s="2"/>
      <c r="C7" s="2"/>
      <c r="D7" s="2"/>
      <c r="E7" s="6"/>
    </row>
    <row r="8" spans="1:5" ht="16.5" thickTop="1" thickBot="1" x14ac:dyDescent="0.3">
      <c r="A8" s="459" t="s">
        <v>18</v>
      </c>
      <c r="B8" s="460"/>
      <c r="C8" s="461" t="s">
        <v>19</v>
      </c>
      <c r="D8" s="461"/>
      <c r="E8" s="462"/>
    </row>
    <row r="9" spans="1:5" ht="16.5" thickTop="1" thickBot="1" x14ac:dyDescent="0.3">
      <c r="A9" s="463" t="s">
        <v>24</v>
      </c>
      <c r="B9" s="464"/>
      <c r="C9" s="465" t="s">
        <v>25</v>
      </c>
      <c r="D9" s="465"/>
      <c r="E9" s="466"/>
    </row>
    <row r="10" spans="1:5" ht="16.5" thickTop="1" thickBot="1" x14ac:dyDescent="0.3">
      <c r="A10" s="109"/>
      <c r="B10" s="97"/>
      <c r="C10" s="97"/>
      <c r="D10" s="97"/>
      <c r="E10" s="95"/>
    </row>
    <row r="11" spans="1:5" ht="16.5" customHeight="1" thickTop="1" thickBot="1" x14ac:dyDescent="0.3">
      <c r="A11" s="431" t="s">
        <v>212</v>
      </c>
      <c r="B11" s="437" t="s">
        <v>20</v>
      </c>
      <c r="C11" s="437" t="s">
        <v>198</v>
      </c>
      <c r="D11" s="437" t="s">
        <v>22</v>
      </c>
      <c r="E11" s="450" t="s">
        <v>13</v>
      </c>
    </row>
    <row r="12" spans="1:5" ht="28.5" customHeight="1" thickTop="1" thickBot="1" x14ac:dyDescent="0.3">
      <c r="A12" s="431"/>
      <c r="B12" s="437"/>
      <c r="C12" s="437"/>
      <c r="D12" s="437"/>
      <c r="E12" s="450"/>
    </row>
    <row r="13" spans="1:5" ht="16.5" thickTop="1" thickBot="1" x14ac:dyDescent="0.3">
      <c r="A13" s="109"/>
      <c r="B13" s="97"/>
      <c r="C13" s="97"/>
      <c r="D13" s="97"/>
      <c r="E13" s="95"/>
    </row>
    <row r="14" spans="1:5" ht="16.5" thickTop="1" thickBot="1" x14ac:dyDescent="0.3">
      <c r="A14" s="109"/>
      <c r="B14" s="97"/>
      <c r="C14" s="97"/>
      <c r="D14" s="97"/>
      <c r="E14" s="95"/>
    </row>
    <row r="15" spans="1:5" ht="16.5" thickTop="1" thickBot="1" x14ac:dyDescent="0.3">
      <c r="A15" s="456" t="s">
        <v>194</v>
      </c>
      <c r="B15" s="457"/>
      <c r="C15" s="457"/>
      <c r="D15" s="457"/>
      <c r="E15" s="458"/>
    </row>
    <row r="16" spans="1:5" ht="16.5" thickTop="1" thickBot="1" x14ac:dyDescent="0.3">
      <c r="A16" s="109"/>
      <c r="B16" s="97"/>
      <c r="C16" s="97"/>
      <c r="D16" s="97"/>
      <c r="E16" s="95"/>
    </row>
    <row r="17" spans="1:5" ht="16.5" thickTop="1" thickBot="1" x14ac:dyDescent="0.3">
      <c r="A17" s="109"/>
      <c r="B17" s="97"/>
      <c r="C17" s="97"/>
      <c r="D17" s="97"/>
      <c r="E17" s="95"/>
    </row>
    <row r="18" spans="1:5" ht="16.5" thickTop="1" thickBot="1" x14ac:dyDescent="0.3">
      <c r="A18" s="456" t="s">
        <v>194</v>
      </c>
      <c r="B18" s="457"/>
      <c r="C18" s="457"/>
      <c r="D18" s="457"/>
      <c r="E18" s="458"/>
    </row>
    <row r="19" spans="1:5" ht="16.5" thickTop="1" thickBot="1" x14ac:dyDescent="0.3">
      <c r="A19" s="109"/>
      <c r="B19" s="97"/>
      <c r="C19" s="97"/>
      <c r="D19" s="97"/>
      <c r="E19" s="95"/>
    </row>
    <row r="20" spans="1:5" ht="16.5" thickTop="1" thickBot="1" x14ac:dyDescent="0.3">
      <c r="A20" s="109"/>
      <c r="B20" s="97"/>
      <c r="C20" s="97"/>
      <c r="D20" s="97"/>
      <c r="E20" s="95"/>
    </row>
    <row r="21" spans="1:5" ht="15.75" thickTop="1" x14ac:dyDescent="0.25">
      <c r="A21" s="7"/>
      <c r="B21" s="2"/>
      <c r="C21" s="2"/>
      <c r="D21" s="2"/>
      <c r="E21" s="6"/>
    </row>
    <row r="22" spans="1:5" ht="15" customHeight="1" x14ac:dyDescent="0.25">
      <c r="A22" s="216" t="s">
        <v>195</v>
      </c>
      <c r="B22" s="206" t="s">
        <v>59</v>
      </c>
      <c r="C22" s="305" t="s">
        <v>196</v>
      </c>
      <c r="D22" s="305"/>
      <c r="E22" s="208" t="s">
        <v>17</v>
      </c>
    </row>
    <row r="23" spans="1:5" x14ac:dyDescent="0.25">
      <c r="A23" s="7"/>
      <c r="B23" s="2"/>
      <c r="C23" s="2"/>
      <c r="D23" s="2"/>
      <c r="E23" s="6"/>
    </row>
    <row r="24" spans="1:5" x14ac:dyDescent="0.25">
      <c r="A24" s="7"/>
      <c r="B24" s="2"/>
      <c r="C24" s="2"/>
      <c r="D24" s="2"/>
      <c r="E24" s="6"/>
    </row>
    <row r="25" spans="1:5" x14ac:dyDescent="0.25">
      <c r="A25" s="7"/>
      <c r="B25" s="2"/>
      <c r="C25" s="2"/>
      <c r="D25" s="2"/>
      <c r="E25" s="6"/>
    </row>
    <row r="26" spans="1:5" x14ac:dyDescent="0.25">
      <c r="A26" s="7"/>
      <c r="B26" s="2"/>
      <c r="C26" s="2"/>
      <c r="D26" s="2"/>
      <c r="E26" s="6"/>
    </row>
    <row r="27" spans="1:5" x14ac:dyDescent="0.25">
      <c r="A27" s="7"/>
      <c r="B27" s="2"/>
      <c r="C27" s="2"/>
      <c r="D27" s="2"/>
      <c r="E27" s="6"/>
    </row>
    <row r="28" spans="1:5" x14ac:dyDescent="0.25">
      <c r="A28" s="7"/>
      <c r="B28" s="2"/>
      <c r="C28" s="2"/>
      <c r="D28" s="2"/>
      <c r="E28" s="6"/>
    </row>
    <row r="29" spans="1:5" x14ac:dyDescent="0.25">
      <c r="A29" s="204" t="s">
        <v>197</v>
      </c>
      <c r="B29" s="202" t="s">
        <v>197</v>
      </c>
      <c r="C29" s="301" t="s">
        <v>158</v>
      </c>
      <c r="D29" s="301"/>
      <c r="E29" s="208" t="s">
        <v>69</v>
      </c>
    </row>
    <row r="30" spans="1:5" ht="15.75" thickBot="1" x14ac:dyDescent="0.3">
      <c r="A30" s="9"/>
      <c r="B30" s="10"/>
      <c r="C30" s="10"/>
      <c r="D30" s="10"/>
      <c r="E30" s="11"/>
    </row>
  </sheetData>
  <mergeCells count="14">
    <mergeCell ref="A15:E15"/>
    <mergeCell ref="A18:E18"/>
    <mergeCell ref="C22:D22"/>
    <mergeCell ref="C29:D29"/>
    <mergeCell ref="A6:E6"/>
    <mergeCell ref="A8:B8"/>
    <mergeCell ref="C8:E8"/>
    <mergeCell ref="A9:B9"/>
    <mergeCell ref="C9:E9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topLeftCell="A16" workbookViewId="0">
      <selection activeCell="E13" sqref="E13"/>
    </sheetView>
  </sheetViews>
  <sheetFormatPr baseColWidth="10" defaultRowHeight="15" x14ac:dyDescent="0.25"/>
  <cols>
    <col min="1" max="1" width="34" customWidth="1"/>
    <col min="2" max="2" width="30.42578125" customWidth="1"/>
    <col min="3" max="3" width="15.42578125" customWidth="1"/>
    <col min="4" max="4" width="11.7109375" customWidth="1"/>
    <col min="5" max="5" width="38.42578125" bestFit="1" customWidth="1"/>
  </cols>
  <sheetData>
    <row r="1" spans="1:5" x14ac:dyDescent="0.25">
      <c r="A1" s="214" t="s">
        <v>146</v>
      </c>
      <c r="B1" s="22"/>
      <c r="C1" s="5"/>
      <c r="D1" s="5"/>
      <c r="E1" s="215" t="s">
        <v>192</v>
      </c>
    </row>
    <row r="2" spans="1:5" x14ac:dyDescent="0.25">
      <c r="A2" s="7"/>
      <c r="B2" s="18"/>
      <c r="C2" s="2"/>
      <c r="D2" s="2"/>
      <c r="E2" s="27" t="s">
        <v>193</v>
      </c>
    </row>
    <row r="3" spans="1:5" x14ac:dyDescent="0.25">
      <c r="A3" s="19"/>
      <c r="B3" s="18"/>
      <c r="C3" s="2"/>
      <c r="D3" s="2"/>
      <c r="E3" s="6"/>
    </row>
    <row r="4" spans="1:5" x14ac:dyDescent="0.25">
      <c r="A4" s="12" t="s">
        <v>253</v>
      </c>
      <c r="B4" s="2"/>
      <c r="C4" s="2"/>
      <c r="D4" s="2"/>
      <c r="E4" s="192" t="s">
        <v>298</v>
      </c>
    </row>
    <row r="5" spans="1:5" x14ac:dyDescent="0.25">
      <c r="A5" s="7"/>
      <c r="B5" s="2"/>
      <c r="C5" s="2"/>
      <c r="D5" s="2"/>
      <c r="E5" s="6"/>
    </row>
    <row r="6" spans="1:5" ht="23.25" x14ac:dyDescent="0.25">
      <c r="A6" s="326" t="s">
        <v>303</v>
      </c>
      <c r="B6" s="327"/>
      <c r="C6" s="327"/>
      <c r="D6" s="327"/>
      <c r="E6" s="328"/>
    </row>
    <row r="7" spans="1:5" ht="15.75" thickBot="1" x14ac:dyDescent="0.3">
      <c r="A7" s="7"/>
      <c r="B7" s="2"/>
      <c r="C7" s="2"/>
      <c r="D7" s="2"/>
      <c r="E7" s="6"/>
    </row>
    <row r="8" spans="1:5" ht="16.5" thickTop="1" thickBot="1" x14ac:dyDescent="0.3">
      <c r="A8" s="459" t="s">
        <v>18</v>
      </c>
      <c r="B8" s="460"/>
      <c r="C8" s="461" t="s">
        <v>19</v>
      </c>
      <c r="D8" s="461"/>
      <c r="E8" s="462"/>
    </row>
    <row r="9" spans="1:5" ht="16.5" thickTop="1" thickBot="1" x14ac:dyDescent="0.3">
      <c r="A9" s="463" t="s">
        <v>300</v>
      </c>
      <c r="B9" s="464"/>
      <c r="C9" s="465" t="s">
        <v>299</v>
      </c>
      <c r="D9" s="465"/>
      <c r="E9" s="466"/>
    </row>
    <row r="10" spans="1:5" ht="16.5" thickTop="1" thickBot="1" x14ac:dyDescent="0.3">
      <c r="A10" s="109"/>
      <c r="B10" s="97"/>
      <c r="C10" s="97"/>
      <c r="D10" s="97"/>
      <c r="E10" s="95"/>
    </row>
    <row r="11" spans="1:5" ht="16.5" customHeight="1" thickTop="1" thickBot="1" x14ac:dyDescent="0.3">
      <c r="A11" s="431" t="s">
        <v>252</v>
      </c>
      <c r="B11" s="437" t="s">
        <v>20</v>
      </c>
      <c r="C11" s="437" t="s">
        <v>198</v>
      </c>
      <c r="D11" s="437" t="s">
        <v>22</v>
      </c>
      <c r="E11" s="450" t="s">
        <v>13</v>
      </c>
    </row>
    <row r="12" spans="1:5" ht="28.5" customHeight="1" thickTop="1" thickBot="1" x14ac:dyDescent="0.3">
      <c r="A12" s="431"/>
      <c r="B12" s="437"/>
      <c r="C12" s="437"/>
      <c r="D12" s="437"/>
      <c r="E12" s="450"/>
    </row>
    <row r="13" spans="1:5" ht="31.5" thickTop="1" thickBot="1" x14ac:dyDescent="0.3">
      <c r="A13" s="243">
        <v>241008</v>
      </c>
      <c r="B13" s="281" t="s">
        <v>293</v>
      </c>
      <c r="C13" s="278">
        <v>584100</v>
      </c>
      <c r="D13" s="134" t="s">
        <v>296</v>
      </c>
      <c r="E13" s="95" t="s">
        <v>301</v>
      </c>
    </row>
    <row r="14" spans="1:5" ht="31.5" thickTop="1" thickBot="1" x14ac:dyDescent="0.3">
      <c r="A14" s="243">
        <v>241008</v>
      </c>
      <c r="B14" s="281" t="s">
        <v>293</v>
      </c>
      <c r="C14" s="278">
        <v>584100</v>
      </c>
      <c r="D14" s="134" t="s">
        <v>296</v>
      </c>
      <c r="E14" s="95" t="s">
        <v>302</v>
      </c>
    </row>
    <row r="15" spans="1:5" ht="16.5" thickTop="1" thickBot="1" x14ac:dyDescent="0.3">
      <c r="A15" s="456" t="s">
        <v>297</v>
      </c>
      <c r="B15" s="457"/>
      <c r="C15" s="457"/>
      <c r="D15" s="457"/>
      <c r="E15" s="458"/>
    </row>
    <row r="16" spans="1:5" ht="16.5" thickTop="1" thickBot="1" x14ac:dyDescent="0.3">
      <c r="A16" s="109"/>
      <c r="B16" s="97"/>
      <c r="C16" s="97"/>
      <c r="D16" s="97"/>
      <c r="E16" s="95"/>
    </row>
    <row r="17" spans="1:5" ht="16.5" thickTop="1" thickBot="1" x14ac:dyDescent="0.3">
      <c r="A17" s="109"/>
      <c r="B17" s="97"/>
      <c r="C17" s="97"/>
      <c r="D17" s="97"/>
      <c r="E17" s="95"/>
    </row>
    <row r="18" spans="1:5" ht="16.5" thickTop="1" thickBot="1" x14ac:dyDescent="0.3">
      <c r="A18" s="456" t="s">
        <v>194</v>
      </c>
      <c r="B18" s="457"/>
      <c r="C18" s="457"/>
      <c r="D18" s="457"/>
      <c r="E18" s="458"/>
    </row>
    <row r="19" spans="1:5" ht="16.5" thickTop="1" thickBot="1" x14ac:dyDescent="0.3">
      <c r="A19" s="109"/>
      <c r="B19" s="97"/>
      <c r="C19" s="97"/>
      <c r="D19" s="97"/>
      <c r="E19" s="95"/>
    </row>
    <row r="20" spans="1:5" ht="16.5" thickTop="1" thickBot="1" x14ac:dyDescent="0.3">
      <c r="A20" s="109"/>
      <c r="B20" s="97"/>
      <c r="C20" s="97"/>
      <c r="D20" s="97"/>
      <c r="E20" s="95"/>
    </row>
    <row r="21" spans="1:5" ht="15.75" thickTop="1" x14ac:dyDescent="0.25">
      <c r="A21" s="7"/>
      <c r="B21" s="2"/>
      <c r="C21" s="2"/>
      <c r="D21" s="2"/>
      <c r="E21" s="6"/>
    </row>
    <row r="22" spans="1:5" ht="15" customHeight="1" x14ac:dyDescent="0.25">
      <c r="A22" s="216" t="s">
        <v>195</v>
      </c>
      <c r="B22" s="194" t="s">
        <v>59</v>
      </c>
      <c r="C22" s="305" t="s">
        <v>196</v>
      </c>
      <c r="D22" s="305"/>
      <c r="E22" s="192" t="s">
        <v>17</v>
      </c>
    </row>
    <row r="23" spans="1:5" x14ac:dyDescent="0.25">
      <c r="A23" s="7"/>
      <c r="B23" s="2"/>
      <c r="C23" s="2"/>
      <c r="D23" s="2"/>
      <c r="E23" s="6"/>
    </row>
    <row r="24" spans="1:5" x14ac:dyDescent="0.25">
      <c r="A24" s="7"/>
      <c r="B24" s="2"/>
      <c r="C24" s="2"/>
      <c r="D24" s="2"/>
      <c r="E24" s="6"/>
    </row>
    <row r="25" spans="1:5" x14ac:dyDescent="0.25">
      <c r="A25" s="7"/>
      <c r="B25" s="2"/>
      <c r="C25" s="2"/>
      <c r="D25" s="2"/>
      <c r="E25" s="6"/>
    </row>
    <row r="26" spans="1:5" x14ac:dyDescent="0.25">
      <c r="A26" s="7"/>
      <c r="B26" s="2"/>
      <c r="C26" s="2"/>
      <c r="D26" s="2"/>
      <c r="E26" s="6"/>
    </row>
    <row r="27" spans="1:5" x14ac:dyDescent="0.25">
      <c r="A27" s="7"/>
      <c r="B27" s="2"/>
      <c r="C27" s="2"/>
      <c r="D27" s="2"/>
      <c r="E27" s="6"/>
    </row>
    <row r="28" spans="1:5" x14ac:dyDescent="0.25">
      <c r="A28" s="7"/>
      <c r="B28" s="2"/>
      <c r="C28" s="2"/>
      <c r="D28" s="2"/>
      <c r="E28" s="6"/>
    </row>
    <row r="29" spans="1:5" x14ac:dyDescent="0.25">
      <c r="A29" s="193" t="s">
        <v>197</v>
      </c>
      <c r="B29" s="191" t="s">
        <v>197</v>
      </c>
      <c r="C29" s="301" t="s">
        <v>158</v>
      </c>
      <c r="D29" s="301"/>
      <c r="E29" s="192" t="s">
        <v>69</v>
      </c>
    </row>
    <row r="30" spans="1:5" ht="15.75" thickBot="1" x14ac:dyDescent="0.3">
      <c r="A30" s="9"/>
      <c r="B30" s="10"/>
      <c r="C30" s="10"/>
      <c r="D30" s="10"/>
      <c r="E30" s="11"/>
    </row>
  </sheetData>
  <mergeCells count="14">
    <mergeCell ref="A18:E18"/>
    <mergeCell ref="C29:D29"/>
    <mergeCell ref="C22:D22"/>
    <mergeCell ref="A6:E6"/>
    <mergeCell ref="A11:A12"/>
    <mergeCell ref="B11:B12"/>
    <mergeCell ref="C11:C12"/>
    <mergeCell ref="D11:D12"/>
    <mergeCell ref="A8:B8"/>
    <mergeCell ref="C8:E8"/>
    <mergeCell ref="A9:B9"/>
    <mergeCell ref="C9:E9"/>
    <mergeCell ref="E11:E12"/>
    <mergeCell ref="A15:E15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selection activeCell="J21" sqref="J21"/>
    </sheetView>
  </sheetViews>
  <sheetFormatPr baseColWidth="10" defaultRowHeight="15" x14ac:dyDescent="0.25"/>
  <cols>
    <col min="1" max="1" width="19.28515625" customWidth="1"/>
    <col min="2" max="2" width="25.5703125" customWidth="1"/>
    <col min="3" max="3" width="11.140625" customWidth="1"/>
    <col min="4" max="4" width="11.28515625" customWidth="1"/>
    <col min="5" max="5" width="13.28515625" customWidth="1"/>
    <col min="6" max="6" width="15.42578125" customWidth="1"/>
    <col min="7" max="7" width="34.140625" customWidth="1"/>
  </cols>
  <sheetData>
    <row r="1" spans="1:7" x14ac:dyDescent="0.25">
      <c r="A1" s="21" t="s">
        <v>146</v>
      </c>
      <c r="B1" s="22"/>
      <c r="C1" s="5"/>
      <c r="D1" s="5"/>
      <c r="E1" s="5"/>
      <c r="F1" s="5"/>
      <c r="G1" s="212" t="s">
        <v>35</v>
      </c>
    </row>
    <row r="2" spans="1:7" x14ac:dyDescent="0.25">
      <c r="A2" s="19"/>
      <c r="B2" s="18"/>
      <c r="C2" s="2"/>
      <c r="D2" s="2"/>
      <c r="E2" s="2"/>
      <c r="F2" s="2"/>
      <c r="G2" s="208" t="s">
        <v>53</v>
      </c>
    </row>
    <row r="3" spans="1:7" x14ac:dyDescent="0.25">
      <c r="A3" s="19"/>
      <c r="B3" s="18"/>
      <c r="C3" s="2"/>
      <c r="D3" s="2"/>
      <c r="E3" s="2"/>
      <c r="F3" s="2"/>
      <c r="G3" s="6"/>
    </row>
    <row r="4" spans="1:7" x14ac:dyDescent="0.25">
      <c r="A4" s="12" t="s">
        <v>216</v>
      </c>
      <c r="B4" s="13"/>
      <c r="C4" s="2"/>
      <c r="D4" s="2"/>
      <c r="E4" s="2"/>
      <c r="F4" s="2"/>
      <c r="G4" s="14" t="s">
        <v>217</v>
      </c>
    </row>
    <row r="5" spans="1:7" x14ac:dyDescent="0.25">
      <c r="A5" s="7"/>
      <c r="B5" s="2"/>
      <c r="C5" s="2"/>
      <c r="D5" s="2"/>
      <c r="E5" s="2"/>
      <c r="F5" s="2"/>
      <c r="G5" s="6"/>
    </row>
    <row r="6" spans="1:7" ht="23.25" x14ac:dyDescent="0.25">
      <c r="A6" s="326" t="s">
        <v>256</v>
      </c>
      <c r="B6" s="327"/>
      <c r="C6" s="327"/>
      <c r="D6" s="327"/>
      <c r="E6" s="327"/>
      <c r="F6" s="327"/>
      <c r="G6" s="328"/>
    </row>
    <row r="7" spans="1:7" ht="15.75" thickBot="1" x14ac:dyDescent="0.3">
      <c r="A7" s="7"/>
      <c r="B7" s="2"/>
      <c r="C7" s="2"/>
      <c r="D7" s="2"/>
      <c r="E7" s="2"/>
      <c r="F7" s="2"/>
      <c r="G7" s="6"/>
    </row>
    <row r="8" spans="1:7" ht="16.5" thickTop="1" thickBot="1" x14ac:dyDescent="0.3">
      <c r="A8" s="459" t="s">
        <v>18</v>
      </c>
      <c r="B8" s="460"/>
      <c r="C8" s="460"/>
      <c r="D8" s="460"/>
      <c r="E8" s="467" t="s">
        <v>19</v>
      </c>
      <c r="F8" s="468"/>
      <c r="G8" s="469"/>
    </row>
    <row r="9" spans="1:7" ht="15.75" thickTop="1" x14ac:dyDescent="0.25">
      <c r="A9" s="470" t="s">
        <v>24</v>
      </c>
      <c r="B9" s="471"/>
      <c r="C9" s="471"/>
      <c r="D9" s="471"/>
      <c r="E9" s="472" t="s">
        <v>214</v>
      </c>
      <c r="F9" s="473"/>
      <c r="G9" s="474"/>
    </row>
    <row r="10" spans="1:7" x14ac:dyDescent="0.25">
      <c r="A10" s="477" t="s">
        <v>25</v>
      </c>
      <c r="B10" s="478"/>
      <c r="C10" s="478"/>
      <c r="D10" s="196"/>
      <c r="E10" s="478" t="s">
        <v>213</v>
      </c>
      <c r="F10" s="478"/>
      <c r="G10" s="479"/>
    </row>
    <row r="11" spans="1:7" ht="15.75" thickBot="1" x14ac:dyDescent="0.3">
      <c r="A11" s="477" t="s">
        <v>191</v>
      </c>
      <c r="B11" s="478"/>
      <c r="C11" s="478"/>
      <c r="D11" s="196"/>
      <c r="E11" s="480" t="s">
        <v>215</v>
      </c>
      <c r="F11" s="481"/>
      <c r="G11" s="482"/>
    </row>
    <row r="12" spans="1:7" ht="16.5" customHeight="1" thickBot="1" x14ac:dyDescent="0.3">
      <c r="A12" s="430" t="s">
        <v>252</v>
      </c>
      <c r="B12" s="436" t="s">
        <v>20</v>
      </c>
      <c r="C12" s="483" t="s">
        <v>9</v>
      </c>
      <c r="D12" s="484"/>
      <c r="E12" s="483" t="s">
        <v>186</v>
      </c>
      <c r="F12" s="484"/>
      <c r="G12" s="417" t="s">
        <v>13</v>
      </c>
    </row>
    <row r="13" spans="1:7" ht="28.5" customHeight="1" thickTop="1" thickBot="1" x14ac:dyDescent="0.3">
      <c r="A13" s="475"/>
      <c r="B13" s="476"/>
      <c r="C13" s="207" t="s">
        <v>56</v>
      </c>
      <c r="D13" s="207" t="s">
        <v>185</v>
      </c>
      <c r="E13" s="207" t="s">
        <v>30</v>
      </c>
      <c r="F13" s="207" t="s">
        <v>187</v>
      </c>
      <c r="G13" s="418"/>
    </row>
    <row r="14" spans="1:7" ht="15.75" thickBot="1" x14ac:dyDescent="0.3">
      <c r="A14" s="195"/>
      <c r="B14" s="122"/>
      <c r="C14" s="122"/>
      <c r="D14" s="122"/>
      <c r="E14" s="122"/>
      <c r="F14" s="122"/>
      <c r="G14" s="167"/>
    </row>
    <row r="15" spans="1:7" ht="16.5" thickTop="1" thickBot="1" x14ac:dyDescent="0.3">
      <c r="A15" s="109"/>
      <c r="B15" s="97"/>
      <c r="C15" s="97"/>
      <c r="D15" s="97"/>
      <c r="E15" s="97"/>
      <c r="F15" s="97"/>
      <c r="G15" s="95"/>
    </row>
    <row r="16" spans="1:7" ht="16.5" thickTop="1" thickBot="1" x14ac:dyDescent="0.3">
      <c r="A16" s="109"/>
      <c r="B16" s="97"/>
      <c r="C16" s="97"/>
      <c r="D16" s="97"/>
      <c r="E16" s="97"/>
      <c r="F16" s="97"/>
      <c r="G16" s="95"/>
    </row>
    <row r="17" spans="1:7" ht="16.5" thickTop="1" thickBot="1" x14ac:dyDescent="0.3">
      <c r="A17" s="109"/>
      <c r="B17" s="97"/>
      <c r="C17" s="97"/>
      <c r="D17" s="97"/>
      <c r="E17" s="97"/>
      <c r="F17" s="97"/>
      <c r="G17" s="95"/>
    </row>
    <row r="18" spans="1:7" ht="16.5" thickTop="1" thickBot="1" x14ac:dyDescent="0.3">
      <c r="A18" s="109"/>
      <c r="B18" s="97"/>
      <c r="C18" s="97"/>
      <c r="D18" s="97"/>
      <c r="E18" s="97"/>
      <c r="F18" s="97"/>
      <c r="G18" s="95"/>
    </row>
    <row r="19" spans="1:7" ht="16.5" thickTop="1" thickBot="1" x14ac:dyDescent="0.3">
      <c r="A19" s="109"/>
      <c r="B19" s="97"/>
      <c r="C19" s="97"/>
      <c r="D19" s="97"/>
      <c r="E19" s="97"/>
      <c r="F19" s="97"/>
      <c r="G19" s="95"/>
    </row>
    <row r="20" spans="1:7" ht="16.5" thickTop="1" thickBot="1" x14ac:dyDescent="0.3">
      <c r="A20" s="109"/>
      <c r="B20" s="97"/>
      <c r="C20" s="97"/>
      <c r="D20" s="97"/>
      <c r="E20" s="97"/>
      <c r="F20" s="97"/>
      <c r="G20" s="95"/>
    </row>
    <row r="21" spans="1:7" ht="16.5" thickTop="1" thickBot="1" x14ac:dyDescent="0.3">
      <c r="A21" s="168"/>
      <c r="B21" s="104"/>
      <c r="C21" s="104"/>
      <c r="D21" s="104"/>
      <c r="E21" s="104"/>
      <c r="F21" s="104"/>
      <c r="G21" s="169"/>
    </row>
    <row r="22" spans="1:7" x14ac:dyDescent="0.25">
      <c r="A22" s="105"/>
      <c r="B22" s="5"/>
      <c r="C22" s="5"/>
      <c r="D22" s="5"/>
      <c r="E22" s="5"/>
      <c r="F22" s="5"/>
      <c r="G22" s="142"/>
    </row>
    <row r="23" spans="1:7" x14ac:dyDescent="0.25">
      <c r="A23" s="209" t="s">
        <v>188</v>
      </c>
      <c r="B23" s="199" t="s">
        <v>190</v>
      </c>
      <c r="C23" s="174"/>
      <c r="D23" s="305" t="s">
        <v>196</v>
      </c>
      <c r="E23" s="305"/>
      <c r="F23" s="13"/>
      <c r="G23" s="208" t="s">
        <v>189</v>
      </c>
    </row>
    <row r="24" spans="1:7" x14ac:dyDescent="0.25">
      <c r="A24" s="7"/>
      <c r="B24" s="2"/>
      <c r="C24" s="2"/>
      <c r="D24" s="2"/>
      <c r="E24" s="2"/>
      <c r="F24" s="2"/>
      <c r="G24" s="6"/>
    </row>
    <row r="25" spans="1:7" x14ac:dyDescent="0.25">
      <c r="A25" s="7"/>
      <c r="B25" s="2"/>
      <c r="C25" s="2"/>
      <c r="D25" s="2"/>
      <c r="E25" s="2"/>
      <c r="F25" s="2"/>
      <c r="G25" s="6"/>
    </row>
    <row r="26" spans="1:7" x14ac:dyDescent="0.25">
      <c r="A26" s="7"/>
      <c r="B26" s="2"/>
      <c r="C26" s="2"/>
      <c r="D26" s="2"/>
      <c r="E26" s="2"/>
      <c r="F26" s="2"/>
      <c r="G26" s="6"/>
    </row>
    <row r="27" spans="1:7" x14ac:dyDescent="0.25">
      <c r="A27" s="7"/>
      <c r="B27" s="2"/>
      <c r="C27" s="2"/>
      <c r="D27" s="2"/>
      <c r="E27" s="2"/>
      <c r="F27" s="2"/>
      <c r="G27" s="6"/>
    </row>
    <row r="28" spans="1:7" x14ac:dyDescent="0.25">
      <c r="A28" s="173" t="s">
        <v>62</v>
      </c>
      <c r="B28" s="202" t="s">
        <v>62</v>
      </c>
      <c r="C28" s="3"/>
      <c r="D28" s="411" t="s">
        <v>62</v>
      </c>
      <c r="E28" s="411"/>
      <c r="F28" s="3"/>
      <c r="G28" s="205" t="s">
        <v>62</v>
      </c>
    </row>
    <row r="29" spans="1:7" ht="15.75" thickBot="1" x14ac:dyDescent="0.3">
      <c r="A29" s="9"/>
      <c r="B29" s="10"/>
      <c r="C29" s="10"/>
      <c r="D29" s="10"/>
      <c r="E29" s="10"/>
      <c r="F29" s="10"/>
      <c r="G29" s="11"/>
    </row>
  </sheetData>
  <mergeCells count="16">
    <mergeCell ref="D28:E28"/>
    <mergeCell ref="D23:E23"/>
    <mergeCell ref="A6:G6"/>
    <mergeCell ref="A8:D8"/>
    <mergeCell ref="E8:G8"/>
    <mergeCell ref="A9:D9"/>
    <mergeCell ref="E9:G9"/>
    <mergeCell ref="A12:A13"/>
    <mergeCell ref="B12:B13"/>
    <mergeCell ref="A10:C10"/>
    <mergeCell ref="A11:C11"/>
    <mergeCell ref="E10:G10"/>
    <mergeCell ref="E11:G11"/>
    <mergeCell ref="G12:G13"/>
    <mergeCell ref="C12:D12"/>
    <mergeCell ref="E12:F12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tabSelected="1" workbookViewId="0">
      <selection activeCell="K9" sqref="K9:K10"/>
    </sheetView>
  </sheetViews>
  <sheetFormatPr baseColWidth="10" defaultRowHeight="15" x14ac:dyDescent="0.25"/>
  <cols>
    <col min="1" max="2" width="8.85546875" customWidth="1"/>
    <col min="3" max="3" width="10.7109375" customWidth="1"/>
    <col min="4" max="4" width="22.7109375" customWidth="1"/>
    <col min="5" max="5" width="9.42578125" customWidth="1"/>
    <col min="6" max="6" width="8.42578125" customWidth="1"/>
    <col min="7" max="7" width="9.85546875" customWidth="1"/>
    <col min="8" max="8" width="9.42578125" customWidth="1"/>
    <col min="9" max="9" width="10.140625" customWidth="1"/>
    <col min="10" max="10" width="14.7109375" customWidth="1"/>
    <col min="11" max="11" width="17.42578125" customWidth="1"/>
  </cols>
  <sheetData>
    <row r="1" spans="1:11" ht="15.75" thickTop="1" x14ac:dyDescent="0.25">
      <c r="A1" s="62" t="s">
        <v>146</v>
      </c>
      <c r="B1" s="63"/>
      <c r="C1" s="63"/>
      <c r="D1" s="63"/>
      <c r="E1" s="65"/>
      <c r="F1" s="99"/>
      <c r="G1" s="99"/>
      <c r="H1" s="99"/>
      <c r="I1" s="99"/>
      <c r="J1" s="485" t="s">
        <v>35</v>
      </c>
      <c r="K1" s="486"/>
    </row>
    <row r="2" spans="1:11" x14ac:dyDescent="0.25">
      <c r="A2" s="66"/>
      <c r="B2" s="18"/>
      <c r="C2" s="18"/>
      <c r="D2" s="18"/>
      <c r="E2" s="106"/>
      <c r="F2" s="2"/>
      <c r="G2" s="2"/>
      <c r="H2" s="2"/>
      <c r="I2" s="2"/>
      <c r="J2" s="301" t="s">
        <v>53</v>
      </c>
      <c r="K2" s="487"/>
    </row>
    <row r="3" spans="1:11" x14ac:dyDescent="0.25">
      <c r="A3" s="66"/>
      <c r="B3" s="18"/>
      <c r="C3" s="106"/>
      <c r="D3" s="106"/>
      <c r="E3" s="106"/>
      <c r="F3" s="2"/>
      <c r="G3" s="2"/>
      <c r="H3" s="2"/>
      <c r="I3" s="2"/>
      <c r="J3" s="2"/>
      <c r="K3" s="67"/>
    </row>
    <row r="4" spans="1:11" x14ac:dyDescent="0.25">
      <c r="A4" s="68" t="s">
        <v>171</v>
      </c>
      <c r="B4" s="13"/>
      <c r="C4" s="106"/>
      <c r="D4" s="106"/>
      <c r="E4" s="106"/>
      <c r="F4" s="2"/>
      <c r="G4" s="2"/>
      <c r="H4" s="2"/>
      <c r="I4" s="2"/>
      <c r="J4" s="301" t="s">
        <v>219</v>
      </c>
      <c r="K4" s="487"/>
    </row>
    <row r="5" spans="1:11" x14ac:dyDescent="0.25">
      <c r="A5" s="69"/>
      <c r="B5" s="2"/>
      <c r="C5" s="2"/>
      <c r="D5" s="2"/>
      <c r="E5" s="2"/>
      <c r="F5" s="2"/>
      <c r="G5" s="2"/>
      <c r="H5" s="2"/>
      <c r="I5" s="2"/>
      <c r="J5" s="2"/>
      <c r="K5" s="67"/>
    </row>
    <row r="6" spans="1:11" ht="23.25" x14ac:dyDescent="0.25">
      <c r="A6" s="491" t="s">
        <v>71</v>
      </c>
      <c r="B6" s="327"/>
      <c r="C6" s="327"/>
      <c r="D6" s="327"/>
      <c r="E6" s="327"/>
      <c r="F6" s="327"/>
      <c r="G6" s="327"/>
      <c r="H6" s="327"/>
      <c r="I6" s="327"/>
      <c r="J6" s="327"/>
      <c r="K6" s="492"/>
    </row>
    <row r="7" spans="1:11" x14ac:dyDescent="0.25">
      <c r="A7" s="69"/>
      <c r="B7" s="2"/>
      <c r="C7" s="2"/>
      <c r="D7" s="2"/>
      <c r="E7" s="2"/>
      <c r="F7" s="2"/>
      <c r="G7" s="2"/>
      <c r="H7" s="2"/>
      <c r="I7" s="2"/>
      <c r="J7" s="2"/>
      <c r="K7" s="67"/>
    </row>
    <row r="8" spans="1:11" ht="15.75" thickBot="1" x14ac:dyDescent="0.3">
      <c r="A8" s="69"/>
      <c r="B8" s="2"/>
      <c r="C8" s="2"/>
      <c r="D8" s="2"/>
      <c r="E8" s="2"/>
      <c r="F8" s="2"/>
      <c r="G8" s="2"/>
      <c r="H8" s="2"/>
      <c r="I8" s="2"/>
      <c r="J8" s="2"/>
      <c r="K8" s="67"/>
    </row>
    <row r="9" spans="1:11" ht="15" customHeight="1" thickTop="1" thickBot="1" x14ac:dyDescent="0.3">
      <c r="A9" s="437" t="s">
        <v>26</v>
      </c>
      <c r="B9" s="437" t="s">
        <v>27</v>
      </c>
      <c r="C9" s="437" t="s">
        <v>28</v>
      </c>
      <c r="D9" s="437"/>
      <c r="E9" s="437" t="s">
        <v>9</v>
      </c>
      <c r="F9" s="437"/>
      <c r="G9" s="493" t="s">
        <v>12</v>
      </c>
      <c r="H9" s="494"/>
      <c r="I9" s="495"/>
      <c r="J9" s="437" t="s">
        <v>31</v>
      </c>
      <c r="K9" s="437" t="s">
        <v>13</v>
      </c>
    </row>
    <row r="10" spans="1:11" ht="31.5" thickTop="1" thickBot="1" x14ac:dyDescent="0.3">
      <c r="A10" s="437"/>
      <c r="B10" s="437"/>
      <c r="C10" s="101" t="s">
        <v>218</v>
      </c>
      <c r="D10" s="101" t="s">
        <v>20</v>
      </c>
      <c r="E10" s="101" t="s">
        <v>29</v>
      </c>
      <c r="F10" s="101" t="s">
        <v>30</v>
      </c>
      <c r="G10" s="155" t="s">
        <v>155</v>
      </c>
      <c r="H10" s="101" t="s">
        <v>29</v>
      </c>
      <c r="I10" s="101" t="s">
        <v>30</v>
      </c>
      <c r="J10" s="437"/>
      <c r="K10" s="437"/>
    </row>
    <row r="11" spans="1:11" ht="16.5" thickTop="1" thickBot="1" x14ac:dyDescent="0.3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</row>
    <row r="12" spans="1:11" ht="16.5" thickTop="1" thickBot="1" x14ac:dyDescent="0.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</row>
    <row r="13" spans="1:11" ht="16.5" thickTop="1" thickBo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</row>
    <row r="14" spans="1:11" ht="16.5" thickTop="1" thickBot="1" x14ac:dyDescent="0.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</row>
    <row r="15" spans="1:11" ht="16.5" thickTop="1" thickBot="1" x14ac:dyDescent="0.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spans="1:11" ht="16.5" thickTop="1" thickBot="1" x14ac:dyDescent="0.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1:11" ht="16.5" thickTop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</row>
    <row r="18" spans="1:11" ht="16.5" thickTop="1" thickBot="1" x14ac:dyDescent="0.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</row>
    <row r="19" spans="1:11" ht="15.75" thickTop="1" x14ac:dyDescent="0.25">
      <c r="A19" s="69"/>
      <c r="B19" s="2"/>
      <c r="C19" s="2"/>
      <c r="D19" s="2"/>
      <c r="E19" s="2"/>
      <c r="F19" s="2"/>
      <c r="G19" s="2"/>
      <c r="H19" s="2"/>
      <c r="I19" s="2"/>
      <c r="J19" s="2"/>
      <c r="K19" s="67"/>
    </row>
    <row r="20" spans="1:11" ht="28.5" customHeight="1" x14ac:dyDescent="0.25">
      <c r="A20" s="488" t="s">
        <v>153</v>
      </c>
      <c r="B20" s="301"/>
      <c r="C20" s="301"/>
      <c r="D20" s="18"/>
      <c r="E20" s="94"/>
      <c r="F20" s="13"/>
      <c r="G20" s="13"/>
      <c r="H20" s="18" t="s">
        <v>156</v>
      </c>
      <c r="I20" s="18"/>
      <c r="J20" s="13"/>
      <c r="K20" s="100"/>
    </row>
    <row r="21" spans="1:11" x14ac:dyDescent="0.25">
      <c r="A21" s="69"/>
      <c r="B21" s="2"/>
      <c r="C21" s="2"/>
      <c r="D21" s="2"/>
      <c r="E21" s="2"/>
      <c r="F21" s="2"/>
      <c r="G21" s="2"/>
      <c r="H21" s="2"/>
      <c r="I21" s="2"/>
      <c r="J21" s="2"/>
      <c r="K21" s="67"/>
    </row>
    <row r="22" spans="1:11" x14ac:dyDescent="0.25">
      <c r="A22" s="69"/>
      <c r="B22" s="2"/>
      <c r="C22" s="2"/>
      <c r="D22" s="2"/>
      <c r="E22" s="2"/>
      <c r="F22" s="2"/>
      <c r="G22" s="2"/>
      <c r="H22" s="2"/>
      <c r="I22" s="2"/>
      <c r="J22" s="2"/>
      <c r="K22" s="67"/>
    </row>
    <row r="23" spans="1:11" x14ac:dyDescent="0.25">
      <c r="A23" s="69"/>
      <c r="B23" s="2"/>
      <c r="C23" s="2"/>
      <c r="D23" s="2"/>
      <c r="E23" s="2"/>
      <c r="F23" s="2"/>
      <c r="G23" s="2"/>
      <c r="H23" s="2"/>
      <c r="I23" s="2"/>
      <c r="J23" s="2"/>
      <c r="K23" s="67"/>
    </row>
    <row r="24" spans="1:11" x14ac:dyDescent="0.25">
      <c r="A24" s="69"/>
      <c r="B24" s="2"/>
      <c r="C24" s="2"/>
      <c r="D24" s="2"/>
      <c r="E24" s="2"/>
      <c r="F24" s="2"/>
      <c r="G24" s="2"/>
      <c r="H24" s="2"/>
      <c r="I24" s="2"/>
      <c r="J24" s="2"/>
      <c r="K24" s="67"/>
    </row>
    <row r="25" spans="1:11" x14ac:dyDescent="0.25">
      <c r="A25" s="69"/>
      <c r="B25" s="2"/>
      <c r="C25" s="2"/>
      <c r="D25" s="2"/>
      <c r="E25" s="2"/>
      <c r="F25" s="2"/>
      <c r="G25" s="2"/>
      <c r="H25" s="2"/>
      <c r="I25" s="2"/>
      <c r="J25" s="2"/>
      <c r="K25" s="67"/>
    </row>
    <row r="26" spans="1:11" x14ac:dyDescent="0.25">
      <c r="A26" s="489" t="s">
        <v>70</v>
      </c>
      <c r="B26" s="490"/>
      <c r="C26" s="490"/>
      <c r="D26" s="3"/>
      <c r="E26" s="93"/>
      <c r="F26" s="15"/>
      <c r="G26" s="15"/>
      <c r="H26" s="15"/>
      <c r="I26" s="13" t="s">
        <v>157</v>
      </c>
      <c r="J26" s="15"/>
      <c r="K26" s="110"/>
    </row>
    <row r="27" spans="1:11" ht="15.75" thickBot="1" x14ac:dyDescent="0.3">
      <c r="A27" s="92"/>
      <c r="B27" s="70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5.75" thickTop="1" x14ac:dyDescent="0.25"/>
  </sheetData>
  <mergeCells count="13">
    <mergeCell ref="J1:K1"/>
    <mergeCell ref="J2:K2"/>
    <mergeCell ref="A20:C20"/>
    <mergeCell ref="A26:C26"/>
    <mergeCell ref="J4:K4"/>
    <mergeCell ref="A6:K6"/>
    <mergeCell ref="A9:A10"/>
    <mergeCell ref="B9:B10"/>
    <mergeCell ref="C9:D9"/>
    <mergeCell ref="E9:F9"/>
    <mergeCell ref="J9:J10"/>
    <mergeCell ref="K9:K10"/>
    <mergeCell ref="G9:I9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J2" sqref="J2:K2"/>
    </sheetView>
  </sheetViews>
  <sheetFormatPr baseColWidth="10" defaultRowHeight="15" x14ac:dyDescent="0.25"/>
  <cols>
    <col min="1" max="2" width="8.85546875" customWidth="1"/>
    <col min="3" max="3" width="10.7109375" customWidth="1"/>
    <col min="4" max="4" width="22.7109375" customWidth="1"/>
    <col min="5" max="5" width="9.42578125" customWidth="1"/>
    <col min="6" max="6" width="8.42578125" customWidth="1"/>
    <col min="7" max="7" width="9.85546875" customWidth="1"/>
    <col min="8" max="8" width="9.42578125" customWidth="1"/>
    <col min="9" max="9" width="10.140625" customWidth="1"/>
    <col min="10" max="10" width="14.7109375" customWidth="1"/>
    <col min="11" max="11" width="17.42578125" customWidth="1"/>
  </cols>
  <sheetData>
    <row r="1" spans="1:11" ht="15.75" thickTop="1" x14ac:dyDescent="0.25">
      <c r="A1" s="62" t="s">
        <v>146</v>
      </c>
      <c r="B1" s="63"/>
      <c r="C1" s="63"/>
      <c r="D1" s="63"/>
      <c r="E1" s="197"/>
      <c r="F1" s="99"/>
      <c r="G1" s="99"/>
      <c r="H1" s="99"/>
      <c r="I1" s="99"/>
      <c r="J1" s="485" t="s">
        <v>35</v>
      </c>
      <c r="K1" s="486"/>
    </row>
    <row r="2" spans="1:11" x14ac:dyDescent="0.25">
      <c r="A2" s="66"/>
      <c r="B2" s="18"/>
      <c r="C2" s="18"/>
      <c r="D2" s="18"/>
      <c r="E2" s="198"/>
      <c r="F2" s="2"/>
      <c r="G2" s="2"/>
      <c r="H2" s="2"/>
      <c r="I2" s="2"/>
      <c r="J2" s="301" t="s">
        <v>53</v>
      </c>
      <c r="K2" s="487"/>
    </row>
    <row r="3" spans="1:11" x14ac:dyDescent="0.25">
      <c r="A3" s="66"/>
      <c r="B3" s="18"/>
      <c r="C3" s="198"/>
      <c r="D3" s="198"/>
      <c r="E3" s="198"/>
      <c r="F3" s="2"/>
      <c r="G3" s="2"/>
      <c r="H3" s="2"/>
      <c r="I3" s="2"/>
      <c r="J3" s="2"/>
      <c r="K3" s="67"/>
    </row>
    <row r="4" spans="1:11" x14ac:dyDescent="0.25">
      <c r="A4" s="68" t="s">
        <v>171</v>
      </c>
      <c r="B4" s="13"/>
      <c r="C4" s="198"/>
      <c r="D4" s="198"/>
      <c r="E4" s="198"/>
      <c r="F4" s="2"/>
      <c r="G4" s="2"/>
      <c r="H4" s="2"/>
      <c r="I4" s="2"/>
      <c r="J4" s="301" t="s">
        <v>219</v>
      </c>
      <c r="K4" s="487"/>
    </row>
    <row r="5" spans="1:11" x14ac:dyDescent="0.25">
      <c r="A5" s="69"/>
      <c r="B5" s="2"/>
      <c r="C5" s="2"/>
      <c r="D5" s="2"/>
      <c r="E5" s="2"/>
      <c r="F5" s="2"/>
      <c r="G5" s="2"/>
      <c r="H5" s="2"/>
      <c r="I5" s="2"/>
      <c r="J5" s="2"/>
      <c r="K5" s="67"/>
    </row>
    <row r="6" spans="1:11" ht="23.25" x14ac:dyDescent="0.25">
      <c r="A6" s="491" t="s">
        <v>220</v>
      </c>
      <c r="B6" s="327"/>
      <c r="C6" s="327"/>
      <c r="D6" s="327"/>
      <c r="E6" s="327"/>
      <c r="F6" s="327"/>
      <c r="G6" s="327"/>
      <c r="H6" s="327"/>
      <c r="I6" s="327"/>
      <c r="J6" s="327"/>
      <c r="K6" s="492"/>
    </row>
    <row r="7" spans="1:11" x14ac:dyDescent="0.25">
      <c r="A7" s="69"/>
      <c r="B7" s="2"/>
      <c r="C7" s="2"/>
      <c r="D7" s="2"/>
      <c r="E7" s="2"/>
      <c r="F7" s="2"/>
      <c r="G7" s="2"/>
      <c r="H7" s="2"/>
      <c r="I7" s="2"/>
      <c r="J7" s="2"/>
      <c r="K7" s="67"/>
    </row>
    <row r="8" spans="1:11" ht="15.75" thickBot="1" x14ac:dyDescent="0.3">
      <c r="A8" s="69"/>
      <c r="B8" s="2"/>
      <c r="C8" s="2"/>
      <c r="D8" s="2"/>
      <c r="E8" s="2"/>
      <c r="F8" s="2"/>
      <c r="G8" s="2"/>
      <c r="H8" s="2"/>
      <c r="I8" s="2"/>
      <c r="J8" s="2"/>
      <c r="K8" s="67"/>
    </row>
    <row r="9" spans="1:11" ht="15" customHeight="1" thickTop="1" thickBot="1" x14ac:dyDescent="0.3">
      <c r="A9" s="437" t="s">
        <v>26</v>
      </c>
      <c r="B9" s="437" t="s">
        <v>27</v>
      </c>
      <c r="C9" s="437" t="s">
        <v>28</v>
      </c>
      <c r="D9" s="437"/>
      <c r="E9" s="437" t="s">
        <v>9</v>
      </c>
      <c r="F9" s="437"/>
      <c r="G9" s="493" t="s">
        <v>12</v>
      </c>
      <c r="H9" s="494"/>
      <c r="I9" s="495"/>
      <c r="J9" s="437" t="s">
        <v>31</v>
      </c>
      <c r="K9" s="437" t="s">
        <v>13</v>
      </c>
    </row>
    <row r="10" spans="1:11" ht="31.5" thickTop="1" thickBot="1" x14ac:dyDescent="0.3">
      <c r="A10" s="437"/>
      <c r="B10" s="437"/>
      <c r="C10" s="201" t="s">
        <v>218</v>
      </c>
      <c r="D10" s="201" t="s">
        <v>20</v>
      </c>
      <c r="E10" s="201" t="s">
        <v>29</v>
      </c>
      <c r="F10" s="201" t="s">
        <v>30</v>
      </c>
      <c r="G10" s="201" t="s">
        <v>155</v>
      </c>
      <c r="H10" s="201" t="s">
        <v>29</v>
      </c>
      <c r="I10" s="201" t="s">
        <v>30</v>
      </c>
      <c r="J10" s="437"/>
      <c r="K10" s="437"/>
    </row>
    <row r="11" spans="1:11" ht="16.5" thickTop="1" thickBot="1" x14ac:dyDescent="0.3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</row>
    <row r="12" spans="1:11" ht="16.5" thickTop="1" thickBot="1" x14ac:dyDescent="0.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</row>
    <row r="13" spans="1:11" ht="16.5" thickTop="1" thickBo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</row>
    <row r="14" spans="1:11" ht="16.5" thickTop="1" thickBot="1" x14ac:dyDescent="0.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</row>
    <row r="15" spans="1:11" ht="16.5" thickTop="1" thickBot="1" x14ac:dyDescent="0.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spans="1:11" ht="16.5" thickTop="1" thickBot="1" x14ac:dyDescent="0.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1:11" ht="16.5" thickTop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</row>
    <row r="18" spans="1:11" ht="16.5" thickTop="1" thickBot="1" x14ac:dyDescent="0.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</row>
    <row r="19" spans="1:11" ht="15.75" thickTop="1" x14ac:dyDescent="0.25">
      <c r="A19" s="69"/>
      <c r="B19" s="2"/>
      <c r="C19" s="2"/>
      <c r="D19" s="2"/>
      <c r="E19" s="2"/>
      <c r="F19" s="2"/>
      <c r="G19" s="2"/>
      <c r="H19" s="2"/>
      <c r="I19" s="2"/>
      <c r="J19" s="2"/>
      <c r="K19" s="67"/>
    </row>
    <row r="20" spans="1:11" ht="28.5" customHeight="1" x14ac:dyDescent="0.25">
      <c r="A20" s="488" t="s">
        <v>153</v>
      </c>
      <c r="B20" s="301"/>
      <c r="C20" s="301"/>
      <c r="D20" s="18"/>
      <c r="E20" s="203"/>
      <c r="F20" s="13"/>
      <c r="G20" s="13"/>
      <c r="H20" s="18" t="s">
        <v>156</v>
      </c>
      <c r="I20" s="18"/>
      <c r="J20" s="13"/>
      <c r="K20" s="100"/>
    </row>
    <row r="21" spans="1:11" x14ac:dyDescent="0.25">
      <c r="A21" s="69"/>
      <c r="B21" s="2"/>
      <c r="C21" s="2"/>
      <c r="D21" s="2"/>
      <c r="E21" s="2"/>
      <c r="F21" s="2"/>
      <c r="G21" s="2"/>
      <c r="H21" s="2"/>
      <c r="I21" s="2"/>
      <c r="J21" s="2"/>
      <c r="K21" s="67"/>
    </row>
    <row r="22" spans="1:11" x14ac:dyDescent="0.25">
      <c r="A22" s="69"/>
      <c r="B22" s="2"/>
      <c r="C22" s="2"/>
      <c r="D22" s="2"/>
      <c r="E22" s="2"/>
      <c r="F22" s="2"/>
      <c r="G22" s="2"/>
      <c r="H22" s="2"/>
      <c r="I22" s="2"/>
      <c r="J22" s="2"/>
      <c r="K22" s="67"/>
    </row>
    <row r="23" spans="1:11" x14ac:dyDescent="0.25">
      <c r="A23" s="69"/>
      <c r="B23" s="2"/>
      <c r="C23" s="2"/>
      <c r="D23" s="2"/>
      <c r="E23" s="2"/>
      <c r="F23" s="2"/>
      <c r="G23" s="2"/>
      <c r="H23" s="2"/>
      <c r="I23" s="2"/>
      <c r="J23" s="2"/>
      <c r="K23" s="67"/>
    </row>
    <row r="24" spans="1:11" x14ac:dyDescent="0.25">
      <c r="A24" s="69"/>
      <c r="B24" s="2"/>
      <c r="C24" s="2"/>
      <c r="D24" s="2"/>
      <c r="E24" s="2"/>
      <c r="F24" s="2"/>
      <c r="G24" s="2"/>
      <c r="H24" s="2"/>
      <c r="I24" s="2"/>
      <c r="J24" s="2"/>
      <c r="K24" s="67"/>
    </row>
    <row r="25" spans="1:11" x14ac:dyDescent="0.25">
      <c r="A25" s="69"/>
      <c r="B25" s="2"/>
      <c r="C25" s="2"/>
      <c r="D25" s="2"/>
      <c r="E25" s="2"/>
      <c r="F25" s="2"/>
      <c r="G25" s="2"/>
      <c r="H25" s="2"/>
      <c r="I25" s="2"/>
      <c r="J25" s="2"/>
      <c r="K25" s="67"/>
    </row>
    <row r="26" spans="1:11" x14ac:dyDescent="0.25">
      <c r="A26" s="489" t="s">
        <v>70</v>
      </c>
      <c r="B26" s="490"/>
      <c r="C26" s="490"/>
      <c r="D26" s="3"/>
      <c r="E26" s="210"/>
      <c r="F26" s="15"/>
      <c r="G26" s="15"/>
      <c r="H26" s="15"/>
      <c r="I26" s="13" t="s">
        <v>157</v>
      </c>
      <c r="J26" s="15"/>
      <c r="K26" s="110"/>
    </row>
    <row r="27" spans="1:11" ht="15.75" thickBot="1" x14ac:dyDescent="0.3">
      <c r="A27" s="92"/>
      <c r="B27" s="70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5.75" thickTop="1" x14ac:dyDescent="0.25"/>
  </sheetData>
  <mergeCells count="13">
    <mergeCell ref="K9:K10"/>
    <mergeCell ref="A20:C20"/>
    <mergeCell ref="A26:C26"/>
    <mergeCell ref="J1:K1"/>
    <mergeCell ref="J2:K2"/>
    <mergeCell ref="J4:K4"/>
    <mergeCell ref="A6:K6"/>
    <mergeCell ref="A9:A10"/>
    <mergeCell ref="B9:B10"/>
    <mergeCell ref="C9:D9"/>
    <mergeCell ref="E9:F9"/>
    <mergeCell ref="G9:I9"/>
    <mergeCell ref="J9:J10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>
      <selection activeCell="L11" sqref="L11"/>
    </sheetView>
  </sheetViews>
  <sheetFormatPr baseColWidth="10" defaultRowHeight="15" x14ac:dyDescent="0.25"/>
  <cols>
    <col min="1" max="1" width="16.28515625" customWidth="1"/>
    <col min="2" max="2" width="33.140625" customWidth="1"/>
    <col min="3" max="3" width="15.5703125" customWidth="1"/>
    <col min="4" max="4" width="14.85546875" customWidth="1"/>
    <col min="5" max="5" width="14.42578125" customWidth="1"/>
    <col min="6" max="6" width="16.7109375" customWidth="1"/>
    <col min="7" max="7" width="19.140625" customWidth="1"/>
  </cols>
  <sheetData>
    <row r="1" spans="1:7" ht="15.75" thickTop="1" x14ac:dyDescent="0.25">
      <c r="A1" s="62" t="s">
        <v>146</v>
      </c>
      <c r="B1" s="63"/>
      <c r="C1" s="63"/>
      <c r="D1" s="63"/>
      <c r="E1" s="157"/>
      <c r="F1" s="485" t="s">
        <v>35</v>
      </c>
      <c r="G1" s="486"/>
    </row>
    <row r="2" spans="1:7" x14ac:dyDescent="0.25">
      <c r="A2" s="66"/>
      <c r="B2" s="18"/>
      <c r="C2" s="18"/>
      <c r="D2" s="18"/>
      <c r="E2" s="156"/>
      <c r="F2" s="301" t="s">
        <v>53</v>
      </c>
      <c r="G2" s="487"/>
    </row>
    <row r="3" spans="1:7" x14ac:dyDescent="0.25">
      <c r="A3" s="66"/>
      <c r="B3" s="18"/>
      <c r="C3" s="18"/>
      <c r="D3" s="18"/>
      <c r="E3" s="156"/>
      <c r="F3" s="2"/>
      <c r="G3" s="67"/>
    </row>
    <row r="4" spans="1:7" x14ac:dyDescent="0.25">
      <c r="A4" s="68" t="s">
        <v>221</v>
      </c>
      <c r="B4" s="13"/>
      <c r="C4" s="18"/>
      <c r="D4" s="18"/>
      <c r="E4" s="156"/>
      <c r="F4" s="301" t="s">
        <v>222</v>
      </c>
      <c r="G4" s="487"/>
    </row>
    <row r="5" spans="1:7" x14ac:dyDescent="0.25">
      <c r="A5" s="69"/>
      <c r="B5" s="2"/>
      <c r="C5" s="2"/>
      <c r="D5" s="2"/>
      <c r="E5" s="2"/>
      <c r="F5" s="2"/>
      <c r="G5" s="67"/>
    </row>
    <row r="6" spans="1:7" ht="23.25" x14ac:dyDescent="0.25">
      <c r="A6" s="491" t="s">
        <v>162</v>
      </c>
      <c r="B6" s="327"/>
      <c r="C6" s="327"/>
      <c r="D6" s="327"/>
      <c r="E6" s="327"/>
      <c r="F6" s="327"/>
      <c r="G6" s="492"/>
    </row>
    <row r="7" spans="1:7" ht="15.75" thickBot="1" x14ac:dyDescent="0.3">
      <c r="A7" s="69"/>
      <c r="B7" s="2"/>
      <c r="C7" s="2"/>
      <c r="D7" s="2"/>
      <c r="E7" s="2"/>
      <c r="F7" s="2"/>
      <c r="G7" s="67"/>
    </row>
    <row r="8" spans="1:7" ht="16.5" thickTop="1" thickBot="1" x14ac:dyDescent="0.3">
      <c r="A8" s="437" t="s">
        <v>27</v>
      </c>
      <c r="B8" s="437" t="s">
        <v>31</v>
      </c>
      <c r="C8" s="437" t="s">
        <v>9</v>
      </c>
      <c r="D8" s="437"/>
      <c r="E8" s="437"/>
      <c r="F8" s="437" t="s">
        <v>21</v>
      </c>
      <c r="G8" s="437"/>
    </row>
    <row r="9" spans="1:7" ht="16.5" thickTop="1" thickBot="1" x14ac:dyDescent="0.3">
      <c r="A9" s="437"/>
      <c r="B9" s="437"/>
      <c r="C9" s="155" t="s">
        <v>29</v>
      </c>
      <c r="D9" s="155" t="s">
        <v>30</v>
      </c>
      <c r="E9" s="115" t="s">
        <v>33</v>
      </c>
      <c r="F9" s="155" t="s">
        <v>34</v>
      </c>
      <c r="G9" s="155" t="s">
        <v>33</v>
      </c>
    </row>
    <row r="10" spans="1:7" ht="16.5" thickTop="1" thickBot="1" x14ac:dyDescent="0.3">
      <c r="A10" s="68" t="s">
        <v>160</v>
      </c>
      <c r="B10" s="13"/>
      <c r="C10" s="2"/>
      <c r="D10" s="2"/>
      <c r="E10" s="2"/>
      <c r="F10" s="2"/>
      <c r="G10" s="67"/>
    </row>
    <row r="11" spans="1:7" ht="16.5" thickTop="1" thickBot="1" x14ac:dyDescent="0.3">
      <c r="A11" s="113"/>
      <c r="B11" s="113"/>
      <c r="C11" s="97"/>
      <c r="D11" s="97"/>
      <c r="E11" s="97"/>
      <c r="F11" s="97"/>
      <c r="G11" s="97"/>
    </row>
    <row r="12" spans="1:7" ht="16.5" thickTop="1" thickBot="1" x14ac:dyDescent="0.3">
      <c r="A12" s="113"/>
      <c r="B12" s="113"/>
      <c r="C12" s="97"/>
      <c r="D12" s="97"/>
      <c r="E12" s="97"/>
      <c r="F12" s="97"/>
      <c r="G12" s="97"/>
    </row>
    <row r="13" spans="1:7" ht="16.5" thickTop="1" thickBot="1" x14ac:dyDescent="0.3">
      <c r="A13" s="112"/>
      <c r="B13" s="97"/>
      <c r="C13" s="97"/>
      <c r="D13" s="97"/>
      <c r="E13" s="97"/>
      <c r="F13" s="97"/>
      <c r="G13" s="97"/>
    </row>
    <row r="14" spans="1:7" ht="16.5" thickTop="1" thickBot="1" x14ac:dyDescent="0.3">
      <c r="A14" s="112"/>
      <c r="B14" s="97"/>
      <c r="C14" s="97"/>
      <c r="D14" s="97"/>
      <c r="E14" s="97"/>
      <c r="F14" s="97"/>
      <c r="G14" s="97"/>
    </row>
    <row r="15" spans="1:7" ht="16.5" thickTop="1" thickBot="1" x14ac:dyDescent="0.3">
      <c r="A15" s="498" t="s">
        <v>40</v>
      </c>
      <c r="B15" s="499"/>
      <c r="C15" s="499"/>
      <c r="D15" s="500"/>
      <c r="E15" s="97"/>
      <c r="F15" s="97"/>
      <c r="G15" s="97"/>
    </row>
    <row r="16" spans="1:7" ht="16.5" thickTop="1" thickBot="1" x14ac:dyDescent="0.3">
      <c r="A16" s="501" t="s">
        <v>160</v>
      </c>
      <c r="B16" s="502"/>
      <c r="C16" s="502"/>
      <c r="D16" s="502"/>
      <c r="E16" s="502"/>
      <c r="F16" s="502"/>
      <c r="G16" s="503"/>
    </row>
    <row r="17" spans="1:7" ht="16.5" thickTop="1" thickBot="1" x14ac:dyDescent="0.3">
      <c r="A17" s="113"/>
      <c r="B17" s="113"/>
      <c r="C17" s="97"/>
      <c r="D17" s="97"/>
      <c r="E17" s="97"/>
      <c r="F17" s="97"/>
      <c r="G17" s="97"/>
    </row>
    <row r="18" spans="1:7" ht="16.5" thickTop="1" thickBot="1" x14ac:dyDescent="0.3">
      <c r="A18" s="97"/>
      <c r="B18" s="97"/>
      <c r="C18" s="97"/>
      <c r="D18" s="97"/>
      <c r="E18" s="97"/>
      <c r="F18" s="97"/>
      <c r="G18" s="97"/>
    </row>
    <row r="19" spans="1:7" ht="16.5" thickTop="1" thickBot="1" x14ac:dyDescent="0.3">
      <c r="A19" s="97"/>
      <c r="B19" s="97"/>
      <c r="C19" s="97"/>
      <c r="D19" s="97"/>
      <c r="E19" s="97"/>
      <c r="F19" s="97"/>
      <c r="G19" s="97"/>
    </row>
    <row r="20" spans="1:7" ht="16.5" thickTop="1" thickBot="1" x14ac:dyDescent="0.3">
      <c r="A20" s="504" t="s">
        <v>40</v>
      </c>
      <c r="B20" s="504"/>
      <c r="C20" s="504"/>
      <c r="D20" s="504"/>
      <c r="E20" s="97"/>
      <c r="F20" s="97"/>
      <c r="G20" s="97"/>
    </row>
    <row r="21" spans="1:7" ht="16.5" thickTop="1" thickBot="1" x14ac:dyDescent="0.3">
      <c r="A21" s="501" t="s">
        <v>161</v>
      </c>
      <c r="B21" s="502"/>
      <c r="C21" s="502"/>
      <c r="D21" s="502"/>
      <c r="E21" s="502"/>
      <c r="F21" s="502"/>
      <c r="G21" s="503"/>
    </row>
    <row r="22" spans="1:7" ht="16.5" thickTop="1" thickBot="1" x14ac:dyDescent="0.3">
      <c r="A22" s="113"/>
      <c r="B22" s="113"/>
      <c r="C22" s="97"/>
      <c r="D22" s="97"/>
      <c r="E22" s="97"/>
      <c r="F22" s="97"/>
      <c r="G22" s="97"/>
    </row>
    <row r="23" spans="1:7" ht="16.5" thickTop="1" thickBot="1" x14ac:dyDescent="0.3">
      <c r="A23" s="97"/>
      <c r="B23" s="97"/>
      <c r="C23" s="97"/>
      <c r="D23" s="97"/>
      <c r="E23" s="97"/>
      <c r="F23" s="97"/>
      <c r="G23" s="97"/>
    </row>
    <row r="24" spans="1:7" ht="16.5" thickTop="1" thickBot="1" x14ac:dyDescent="0.3">
      <c r="A24" s="97"/>
      <c r="B24" s="97"/>
      <c r="C24" s="97"/>
      <c r="D24" s="97"/>
      <c r="E24" s="97"/>
      <c r="F24" s="97"/>
      <c r="G24" s="97"/>
    </row>
    <row r="25" spans="1:7" ht="16.5" thickTop="1" thickBot="1" x14ac:dyDescent="0.3">
      <c r="A25" s="504" t="s">
        <v>40</v>
      </c>
      <c r="B25" s="504"/>
      <c r="C25" s="504"/>
      <c r="D25" s="504"/>
      <c r="E25" s="97"/>
      <c r="F25" s="97"/>
      <c r="G25" s="97"/>
    </row>
    <row r="26" spans="1:7" ht="15.75" thickTop="1" x14ac:dyDescent="0.25">
      <c r="A26" s="69"/>
      <c r="B26" s="301" t="s">
        <v>159</v>
      </c>
      <c r="C26" s="301"/>
      <c r="D26" s="301"/>
      <c r="E26" s="301"/>
      <c r="F26" s="2"/>
      <c r="G26" s="67"/>
    </row>
    <row r="27" spans="1:7" x14ac:dyDescent="0.25">
      <c r="A27" s="69"/>
      <c r="B27" s="154"/>
      <c r="C27" s="154"/>
      <c r="D27" s="154"/>
      <c r="E27" s="154"/>
      <c r="F27" s="2"/>
      <c r="G27" s="67"/>
    </row>
    <row r="28" spans="1:7" x14ac:dyDescent="0.25">
      <c r="A28" s="69"/>
      <c r="B28" s="2"/>
      <c r="C28" s="2"/>
      <c r="D28" s="2"/>
      <c r="E28" s="2"/>
      <c r="F28" s="2"/>
      <c r="G28" s="67"/>
    </row>
    <row r="29" spans="1:7" x14ac:dyDescent="0.25">
      <c r="A29" s="496" t="s">
        <v>62</v>
      </c>
      <c r="B29" s="411"/>
      <c r="C29" s="411"/>
      <c r="D29" s="411"/>
      <c r="E29" s="411"/>
      <c r="F29" s="411"/>
      <c r="G29" s="497"/>
    </row>
    <row r="30" spans="1:7" ht="15.75" thickBot="1" x14ac:dyDescent="0.3">
      <c r="A30" s="92"/>
      <c r="B30" s="70"/>
      <c r="C30" s="70"/>
      <c r="D30" s="70"/>
      <c r="E30" s="70"/>
      <c r="F30" s="70"/>
      <c r="G30" s="71"/>
    </row>
    <row r="31" spans="1:7" ht="15.75" thickTop="1" x14ac:dyDescent="0.25"/>
  </sheetData>
  <mergeCells count="15">
    <mergeCell ref="A29:G29"/>
    <mergeCell ref="A15:D15"/>
    <mergeCell ref="A16:G16"/>
    <mergeCell ref="A20:D20"/>
    <mergeCell ref="A21:G21"/>
    <mergeCell ref="A25:D25"/>
    <mergeCell ref="B26:E26"/>
    <mergeCell ref="F1:G1"/>
    <mergeCell ref="F4:G4"/>
    <mergeCell ref="A6:G6"/>
    <mergeCell ref="A8:A9"/>
    <mergeCell ref="B8:B9"/>
    <mergeCell ref="C8:E8"/>
    <mergeCell ref="F8:G8"/>
    <mergeCell ref="F2:G2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1"/>
  <sheetViews>
    <sheetView workbookViewId="0">
      <selection activeCell="M22" sqref="M22"/>
    </sheetView>
  </sheetViews>
  <sheetFormatPr baseColWidth="10" defaultRowHeight="15" x14ac:dyDescent="0.25"/>
  <cols>
    <col min="1" max="1" width="16.28515625" customWidth="1"/>
    <col min="2" max="2" width="33.140625" customWidth="1"/>
    <col min="3" max="3" width="15.5703125" customWidth="1"/>
    <col min="4" max="4" width="14.85546875" customWidth="1"/>
    <col min="5" max="5" width="14.42578125" customWidth="1"/>
    <col min="6" max="6" width="16.7109375" customWidth="1"/>
    <col min="7" max="7" width="19.140625" customWidth="1"/>
  </cols>
  <sheetData>
    <row r="1" spans="1:13" ht="15.75" thickTop="1" x14ac:dyDescent="0.25">
      <c r="A1" s="62" t="s">
        <v>146</v>
      </c>
      <c r="B1" s="63"/>
      <c r="C1" s="63"/>
      <c r="D1" s="63"/>
      <c r="E1" s="197"/>
      <c r="F1" s="485" t="s">
        <v>35</v>
      </c>
      <c r="G1" s="486"/>
    </row>
    <row r="2" spans="1:13" x14ac:dyDescent="0.25">
      <c r="A2" s="66"/>
      <c r="B2" s="18"/>
      <c r="C2" s="18"/>
      <c r="D2" s="18"/>
      <c r="E2" s="198"/>
      <c r="F2" s="301" t="s">
        <v>53</v>
      </c>
      <c r="G2" s="487"/>
    </row>
    <row r="3" spans="1:13" x14ac:dyDescent="0.25">
      <c r="A3" s="66"/>
      <c r="B3" s="18"/>
      <c r="C3" s="18"/>
      <c r="D3" s="18"/>
      <c r="E3" s="198"/>
      <c r="F3" s="2"/>
      <c r="G3" s="67"/>
    </row>
    <row r="4" spans="1:13" x14ac:dyDescent="0.25">
      <c r="A4" s="68" t="s">
        <v>221</v>
      </c>
      <c r="B4" s="13"/>
      <c r="C4" s="18"/>
      <c r="D4" s="18"/>
      <c r="E4" s="198"/>
      <c r="F4" s="301" t="s">
        <v>222</v>
      </c>
      <c r="G4" s="487"/>
    </row>
    <row r="5" spans="1:13" x14ac:dyDescent="0.25">
      <c r="A5" s="69"/>
      <c r="B5" s="2"/>
      <c r="C5" s="2"/>
      <c r="D5" s="2"/>
      <c r="E5" s="2"/>
      <c r="F5" s="2"/>
      <c r="G5" s="67"/>
    </row>
    <row r="6" spans="1:13" ht="23.25" x14ac:dyDescent="0.25">
      <c r="A6" s="491" t="s">
        <v>223</v>
      </c>
      <c r="B6" s="327"/>
      <c r="C6" s="327"/>
      <c r="D6" s="327"/>
      <c r="E6" s="327"/>
      <c r="F6" s="327"/>
      <c r="G6" s="492"/>
    </row>
    <row r="7" spans="1:13" ht="15.75" thickBot="1" x14ac:dyDescent="0.3">
      <c r="A7" s="69"/>
      <c r="B7" s="2"/>
      <c r="C7" s="2"/>
      <c r="D7" s="2"/>
      <c r="E7" s="2"/>
      <c r="F7" s="2"/>
      <c r="G7" s="67"/>
    </row>
    <row r="8" spans="1:13" ht="16.5" thickTop="1" thickBot="1" x14ac:dyDescent="0.3">
      <c r="A8" s="437" t="s">
        <v>27</v>
      </c>
      <c r="B8" s="437" t="s">
        <v>31</v>
      </c>
      <c r="C8" s="437" t="s">
        <v>9</v>
      </c>
      <c r="D8" s="437"/>
      <c r="E8" s="437"/>
      <c r="F8" s="437" t="s">
        <v>21</v>
      </c>
      <c r="G8" s="437"/>
    </row>
    <row r="9" spans="1:13" ht="16.5" thickTop="1" thickBot="1" x14ac:dyDescent="0.3">
      <c r="A9" s="437"/>
      <c r="B9" s="437"/>
      <c r="C9" s="201" t="s">
        <v>29</v>
      </c>
      <c r="D9" s="201" t="s">
        <v>30</v>
      </c>
      <c r="E9" s="115" t="s">
        <v>33</v>
      </c>
      <c r="F9" s="201" t="s">
        <v>34</v>
      </c>
      <c r="G9" s="201" t="s">
        <v>33</v>
      </c>
    </row>
    <row r="10" spans="1:13" ht="16.5" thickTop="1" thickBot="1" x14ac:dyDescent="0.3">
      <c r="A10" s="68" t="s">
        <v>160</v>
      </c>
      <c r="B10" s="13"/>
      <c r="C10" s="2"/>
      <c r="D10" s="2"/>
      <c r="E10" s="2"/>
      <c r="F10" s="2"/>
      <c r="G10" s="67"/>
    </row>
    <row r="11" spans="1:13" ht="16.5" thickTop="1" thickBot="1" x14ac:dyDescent="0.3">
      <c r="A11" s="113"/>
      <c r="B11" s="113"/>
      <c r="C11" s="97"/>
      <c r="D11" s="97"/>
      <c r="E11" s="97"/>
      <c r="F11" s="97"/>
      <c r="G11" s="97"/>
    </row>
    <row r="12" spans="1:13" ht="16.5" thickTop="1" thickBot="1" x14ac:dyDescent="0.3">
      <c r="A12" s="113"/>
      <c r="B12" s="113"/>
      <c r="C12" s="97"/>
      <c r="D12" s="97"/>
      <c r="E12" s="97"/>
      <c r="F12" s="97"/>
      <c r="G12" s="97"/>
    </row>
    <row r="13" spans="1:13" ht="16.5" thickTop="1" thickBot="1" x14ac:dyDescent="0.3">
      <c r="A13" s="112"/>
      <c r="B13" s="97"/>
      <c r="C13" s="97"/>
      <c r="D13" s="97"/>
      <c r="E13" s="97"/>
      <c r="F13" s="97"/>
      <c r="G13" s="97"/>
    </row>
    <row r="14" spans="1:13" ht="16.5" thickTop="1" thickBot="1" x14ac:dyDescent="0.3">
      <c r="A14" s="112"/>
      <c r="B14" s="97"/>
      <c r="C14" s="97"/>
      <c r="D14" s="97"/>
      <c r="E14" s="97"/>
      <c r="F14" s="97"/>
      <c r="G14" s="97"/>
    </row>
    <row r="15" spans="1:13" ht="16.5" thickTop="1" thickBot="1" x14ac:dyDescent="0.3">
      <c r="A15" s="498" t="s">
        <v>40</v>
      </c>
      <c r="B15" s="499"/>
      <c r="C15" s="499"/>
      <c r="D15" s="500"/>
      <c r="E15" s="97"/>
      <c r="F15" s="97"/>
      <c r="G15" s="97"/>
    </row>
    <row r="16" spans="1:13" ht="16.5" thickTop="1" thickBot="1" x14ac:dyDescent="0.3">
      <c r="A16" s="501" t="s">
        <v>160</v>
      </c>
      <c r="B16" s="502"/>
      <c r="C16" s="502"/>
      <c r="D16" s="502"/>
      <c r="E16" s="502"/>
      <c r="F16" s="502"/>
      <c r="G16" s="503"/>
      <c r="M16">
        <f>22500+9000</f>
        <v>31500</v>
      </c>
    </row>
    <row r="17" spans="1:13" ht="16.5" thickTop="1" thickBot="1" x14ac:dyDescent="0.3">
      <c r="A17" s="113"/>
      <c r="B17" s="113"/>
      <c r="C17" s="97"/>
      <c r="D17" s="97"/>
      <c r="E17" s="97"/>
      <c r="F17" s="97"/>
      <c r="G17" s="97"/>
      <c r="M17">
        <f>M16/4500</f>
        <v>7</v>
      </c>
    </row>
    <row r="18" spans="1:13" ht="16.5" thickTop="1" thickBot="1" x14ac:dyDescent="0.3">
      <c r="A18" s="97"/>
      <c r="B18" s="97"/>
      <c r="C18" s="97"/>
      <c r="D18" s="97"/>
      <c r="E18" s="97"/>
      <c r="F18" s="97"/>
      <c r="G18" s="97"/>
      <c r="M18">
        <f>22500*4</f>
        <v>90000</v>
      </c>
    </row>
    <row r="19" spans="1:13" ht="16.5" thickTop="1" thickBot="1" x14ac:dyDescent="0.3">
      <c r="A19" s="97"/>
      <c r="B19" s="97"/>
      <c r="C19" s="97"/>
      <c r="D19" s="97"/>
      <c r="E19" s="97"/>
      <c r="F19" s="97"/>
      <c r="G19" s="97"/>
      <c r="M19">
        <f>4500*157</f>
        <v>706500</v>
      </c>
    </row>
    <row r="20" spans="1:13" ht="16.5" thickTop="1" thickBot="1" x14ac:dyDescent="0.3">
      <c r="A20" s="504" t="s">
        <v>40</v>
      </c>
      <c r="B20" s="504"/>
      <c r="C20" s="504"/>
      <c r="D20" s="504"/>
      <c r="E20" s="97"/>
      <c r="F20" s="97"/>
      <c r="G20" s="97"/>
      <c r="M20">
        <f>90000+18000+706500+8000+1000</f>
        <v>823500</v>
      </c>
    </row>
    <row r="21" spans="1:13" ht="16.5" thickTop="1" thickBot="1" x14ac:dyDescent="0.3">
      <c r="A21" s="501" t="s">
        <v>161</v>
      </c>
      <c r="B21" s="502"/>
      <c r="C21" s="502"/>
      <c r="D21" s="502"/>
      <c r="E21" s="502"/>
      <c r="F21" s="502"/>
      <c r="G21" s="503"/>
    </row>
    <row r="22" spans="1:13" ht="16.5" thickTop="1" thickBot="1" x14ac:dyDescent="0.3">
      <c r="A22" s="113"/>
      <c r="B22" s="113"/>
      <c r="C22" s="97"/>
      <c r="D22" s="97"/>
      <c r="E22" s="97"/>
      <c r="F22" s="97"/>
      <c r="G22" s="97"/>
    </row>
    <row r="23" spans="1:13" ht="16.5" thickTop="1" thickBot="1" x14ac:dyDescent="0.3">
      <c r="A23" s="97"/>
      <c r="B23" s="97"/>
      <c r="C23" s="97"/>
      <c r="D23" s="97"/>
      <c r="E23" s="97"/>
      <c r="F23" s="97"/>
      <c r="G23" s="97"/>
    </row>
    <row r="24" spans="1:13" ht="16.5" thickTop="1" thickBot="1" x14ac:dyDescent="0.3">
      <c r="A24" s="97"/>
      <c r="B24" s="97"/>
      <c r="C24" s="97"/>
      <c r="D24" s="97"/>
      <c r="E24" s="97"/>
      <c r="F24" s="97"/>
      <c r="G24" s="97"/>
    </row>
    <row r="25" spans="1:13" ht="16.5" thickTop="1" thickBot="1" x14ac:dyDescent="0.3">
      <c r="A25" s="504" t="s">
        <v>40</v>
      </c>
      <c r="B25" s="504"/>
      <c r="C25" s="504"/>
      <c r="D25" s="504"/>
      <c r="E25" s="97"/>
      <c r="F25" s="97"/>
      <c r="G25" s="97"/>
    </row>
    <row r="26" spans="1:13" ht="15.75" thickTop="1" x14ac:dyDescent="0.25">
      <c r="A26" s="69"/>
      <c r="B26" s="301" t="s">
        <v>159</v>
      </c>
      <c r="C26" s="301"/>
      <c r="D26" s="301"/>
      <c r="E26" s="301"/>
      <c r="F26" s="2"/>
      <c r="G26" s="67"/>
    </row>
    <row r="27" spans="1:13" x14ac:dyDescent="0.25">
      <c r="A27" s="69"/>
      <c r="B27" s="200"/>
      <c r="C27" s="200"/>
      <c r="D27" s="200"/>
      <c r="E27" s="200"/>
      <c r="F27" s="2"/>
      <c r="G27" s="67"/>
    </row>
    <row r="28" spans="1:13" x14ac:dyDescent="0.25">
      <c r="A28" s="69"/>
      <c r="B28" s="2"/>
      <c r="C28" s="2"/>
      <c r="D28" s="2"/>
      <c r="E28" s="2"/>
      <c r="F28" s="2"/>
      <c r="G28" s="67"/>
    </row>
    <row r="29" spans="1:13" x14ac:dyDescent="0.25">
      <c r="A29" s="496" t="s">
        <v>62</v>
      </c>
      <c r="B29" s="411"/>
      <c r="C29" s="411"/>
      <c r="D29" s="411"/>
      <c r="E29" s="411"/>
      <c r="F29" s="411"/>
      <c r="G29" s="497"/>
    </row>
    <row r="30" spans="1:13" ht="15.75" thickBot="1" x14ac:dyDescent="0.3">
      <c r="A30" s="92"/>
      <c r="B30" s="70"/>
      <c r="C30" s="70"/>
      <c r="D30" s="70"/>
      <c r="E30" s="70"/>
      <c r="F30" s="70"/>
      <c r="G30" s="71"/>
    </row>
    <row r="31" spans="1:13" ht="15.75" thickTop="1" x14ac:dyDescent="0.25"/>
  </sheetData>
  <mergeCells count="15">
    <mergeCell ref="A29:G29"/>
    <mergeCell ref="A15:D15"/>
    <mergeCell ref="A16:G16"/>
    <mergeCell ref="A20:D20"/>
    <mergeCell ref="A21:G21"/>
    <mergeCell ref="A25:D25"/>
    <mergeCell ref="B26:E26"/>
    <mergeCell ref="F1:G1"/>
    <mergeCell ref="F2:G2"/>
    <mergeCell ref="F4:G4"/>
    <mergeCell ref="A6:G6"/>
    <mergeCell ref="A8:A9"/>
    <mergeCell ref="B8:B9"/>
    <mergeCell ref="C8:E8"/>
    <mergeCell ref="F8:G8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selection activeCell="N7" sqref="N7"/>
    </sheetView>
  </sheetViews>
  <sheetFormatPr baseColWidth="10" defaultRowHeight="15" x14ac:dyDescent="0.25"/>
  <cols>
    <col min="1" max="1" width="16.140625" customWidth="1"/>
    <col min="2" max="2" width="15" customWidth="1"/>
    <col min="3" max="3" width="7.7109375" customWidth="1"/>
    <col min="4" max="4" width="9.85546875" customWidth="1"/>
    <col min="5" max="5" width="11.28515625" customWidth="1"/>
    <col min="6" max="6" width="7.5703125" customWidth="1"/>
    <col min="7" max="7" width="11" customWidth="1"/>
    <col min="8" max="8" width="10" customWidth="1"/>
    <col min="9" max="9" width="8.140625" customWidth="1"/>
    <col min="10" max="10" width="13.42578125" customWidth="1"/>
    <col min="11" max="11" width="19.85546875" customWidth="1"/>
  </cols>
  <sheetData>
    <row r="1" spans="1:11" x14ac:dyDescent="0.25">
      <c r="A1" s="21" t="s">
        <v>146</v>
      </c>
      <c r="B1" s="22"/>
      <c r="C1" s="22"/>
      <c r="D1" s="22"/>
      <c r="E1" s="172"/>
      <c r="F1" s="172"/>
      <c r="G1" s="172"/>
      <c r="H1" s="172"/>
      <c r="I1" s="22" t="s">
        <v>168</v>
      </c>
      <c r="J1" s="382" t="s">
        <v>35</v>
      </c>
      <c r="K1" s="383"/>
    </row>
    <row r="2" spans="1:11" x14ac:dyDescent="0.25">
      <c r="A2" s="19"/>
      <c r="B2" s="18"/>
      <c r="C2" s="18"/>
      <c r="D2" s="18"/>
      <c r="E2" s="198"/>
      <c r="F2" s="198"/>
      <c r="G2" s="198"/>
      <c r="H2" s="198"/>
      <c r="I2" s="2"/>
      <c r="J2" s="301" t="s">
        <v>53</v>
      </c>
      <c r="K2" s="317"/>
    </row>
    <row r="3" spans="1:11" x14ac:dyDescent="0.25">
      <c r="A3" s="19"/>
      <c r="B3" s="18"/>
      <c r="C3" s="18"/>
      <c r="D3" s="18"/>
      <c r="E3" s="198"/>
      <c r="F3" s="198"/>
      <c r="G3" s="198"/>
      <c r="H3" s="198"/>
      <c r="I3" s="2"/>
      <c r="J3" s="2"/>
      <c r="K3" s="6"/>
    </row>
    <row r="4" spans="1:11" x14ac:dyDescent="0.25">
      <c r="A4" s="12" t="s">
        <v>225</v>
      </c>
      <c r="B4" s="13"/>
      <c r="C4" s="18"/>
      <c r="D4" s="18"/>
      <c r="E4" s="198"/>
      <c r="F4" s="198"/>
      <c r="G4" s="198"/>
      <c r="H4" s="198"/>
      <c r="I4" s="301" t="s">
        <v>217</v>
      </c>
      <c r="J4" s="301"/>
      <c r="K4" s="317"/>
    </row>
    <row r="5" spans="1:11" x14ac:dyDescent="0.25">
      <c r="A5" s="7"/>
      <c r="B5" s="2"/>
      <c r="C5" s="2"/>
      <c r="D5" s="2"/>
      <c r="E5" s="2"/>
      <c r="F5" s="2"/>
      <c r="G5" s="2"/>
      <c r="H5" s="2"/>
      <c r="I5" s="2"/>
      <c r="J5" s="2"/>
      <c r="K5" s="6"/>
    </row>
    <row r="6" spans="1:11" ht="23.25" x14ac:dyDescent="0.25">
      <c r="A6" s="326" t="s">
        <v>226</v>
      </c>
      <c r="B6" s="327"/>
      <c r="C6" s="327"/>
      <c r="D6" s="327"/>
      <c r="E6" s="327"/>
      <c r="F6" s="327"/>
      <c r="G6" s="327"/>
      <c r="H6" s="327"/>
      <c r="I6" s="327"/>
      <c r="J6" s="327"/>
      <c r="K6" s="328"/>
    </row>
    <row r="7" spans="1:11" x14ac:dyDescent="0.25">
      <c r="A7" s="304" t="s">
        <v>165</v>
      </c>
      <c r="B7" s="303"/>
      <c r="C7" s="2"/>
      <c r="D7" s="18" t="s">
        <v>166</v>
      </c>
      <c r="E7" s="18"/>
      <c r="F7" s="2"/>
      <c r="G7" s="2"/>
      <c r="H7" s="2"/>
      <c r="I7" s="13" t="s">
        <v>167</v>
      </c>
      <c r="J7" s="2"/>
      <c r="K7" s="6"/>
    </row>
    <row r="8" spans="1:11" x14ac:dyDescent="0.25">
      <c r="A8" s="7"/>
      <c r="B8" s="2"/>
      <c r="C8" s="2"/>
      <c r="D8" s="2"/>
      <c r="E8" s="2"/>
      <c r="F8" s="2"/>
      <c r="G8" s="2"/>
      <c r="H8" s="2"/>
      <c r="I8" s="2"/>
      <c r="J8" s="2"/>
      <c r="K8" s="6"/>
    </row>
    <row r="9" spans="1:11" ht="15.75" thickBo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6"/>
    </row>
    <row r="10" spans="1:11" ht="16.5" thickTop="1" thickBot="1" x14ac:dyDescent="0.3">
      <c r="A10" s="431" t="s">
        <v>27</v>
      </c>
      <c r="B10" s="437" t="s">
        <v>31</v>
      </c>
      <c r="C10" s="437" t="s">
        <v>29</v>
      </c>
      <c r="D10" s="437"/>
      <c r="E10" s="437"/>
      <c r="F10" s="437" t="s">
        <v>30</v>
      </c>
      <c r="G10" s="437"/>
      <c r="H10" s="437"/>
      <c r="I10" s="437" t="s">
        <v>39</v>
      </c>
      <c r="J10" s="437"/>
      <c r="K10" s="505" t="s">
        <v>13</v>
      </c>
    </row>
    <row r="11" spans="1:11" ht="16.5" thickTop="1" thickBot="1" x14ac:dyDescent="0.3">
      <c r="A11" s="431"/>
      <c r="B11" s="437"/>
      <c r="C11" s="201" t="s">
        <v>37</v>
      </c>
      <c r="D11" s="201" t="s">
        <v>36</v>
      </c>
      <c r="E11" s="111" t="s">
        <v>21</v>
      </c>
      <c r="F11" s="201" t="s">
        <v>37</v>
      </c>
      <c r="G11" s="201" t="s">
        <v>36</v>
      </c>
      <c r="H11" s="111" t="s">
        <v>21</v>
      </c>
      <c r="I11" s="201" t="s">
        <v>37</v>
      </c>
      <c r="J11" s="111" t="s">
        <v>21</v>
      </c>
      <c r="K11" s="506"/>
    </row>
    <row r="12" spans="1:11" ht="16.5" thickTop="1" thickBot="1" x14ac:dyDescent="0.3">
      <c r="A12" s="175"/>
      <c r="B12" s="97"/>
      <c r="C12" s="97"/>
      <c r="D12" s="97"/>
      <c r="E12" s="97"/>
      <c r="F12" s="97"/>
      <c r="G12" s="97"/>
      <c r="H12" s="97"/>
      <c r="I12" s="97"/>
      <c r="J12" s="97"/>
      <c r="K12" s="95"/>
    </row>
    <row r="13" spans="1:11" ht="16.5" thickTop="1" thickBot="1" x14ac:dyDescent="0.3">
      <c r="A13" s="175"/>
      <c r="B13" s="97"/>
      <c r="C13" s="97"/>
      <c r="D13" s="97"/>
      <c r="E13" s="97"/>
      <c r="F13" s="97"/>
      <c r="G13" s="97"/>
      <c r="H13" s="97"/>
      <c r="I13" s="97"/>
      <c r="J13" s="97"/>
      <c r="K13" s="95"/>
    </row>
    <row r="14" spans="1:11" ht="16.5" thickTop="1" thickBot="1" x14ac:dyDescent="0.3">
      <c r="A14" s="175"/>
      <c r="B14" s="97"/>
      <c r="C14" s="97"/>
      <c r="D14" s="97"/>
      <c r="E14" s="97"/>
      <c r="F14" s="97"/>
      <c r="G14" s="97"/>
      <c r="H14" s="97"/>
      <c r="I14" s="97"/>
      <c r="J14" s="97"/>
      <c r="K14" s="95"/>
    </row>
    <row r="15" spans="1:11" ht="16.5" thickTop="1" thickBot="1" x14ac:dyDescent="0.3">
      <c r="A15" s="175"/>
      <c r="B15" s="97"/>
      <c r="C15" s="97"/>
      <c r="D15" s="97"/>
      <c r="E15" s="97"/>
      <c r="F15" s="97"/>
      <c r="G15" s="97"/>
      <c r="H15" s="97"/>
      <c r="I15" s="97"/>
      <c r="J15" s="97"/>
      <c r="K15" s="95"/>
    </row>
    <row r="16" spans="1:11" ht="16.5" thickTop="1" thickBot="1" x14ac:dyDescent="0.3">
      <c r="A16" s="109"/>
      <c r="B16" s="97"/>
      <c r="C16" s="97"/>
      <c r="D16" s="97"/>
      <c r="E16" s="97"/>
      <c r="F16" s="97"/>
      <c r="G16" s="97"/>
      <c r="H16" s="97"/>
      <c r="I16" s="97"/>
      <c r="J16" s="97"/>
      <c r="K16" s="95"/>
    </row>
    <row r="17" spans="1:11" ht="16.5" thickTop="1" thickBot="1" x14ac:dyDescent="0.3">
      <c r="A17" s="109"/>
      <c r="B17" s="97"/>
      <c r="C17" s="97"/>
      <c r="D17" s="97"/>
      <c r="E17" s="97"/>
      <c r="F17" s="97"/>
      <c r="G17" s="97"/>
      <c r="H17" s="97"/>
      <c r="I17" s="97"/>
      <c r="J17" s="97"/>
      <c r="K17" s="95"/>
    </row>
    <row r="18" spans="1:11" ht="16.5" thickTop="1" thickBot="1" x14ac:dyDescent="0.3">
      <c r="A18" s="176" t="s">
        <v>40</v>
      </c>
      <c r="B18" s="97"/>
      <c r="C18" s="97"/>
      <c r="D18" s="97"/>
      <c r="E18" s="97"/>
      <c r="F18" s="97"/>
      <c r="G18" s="97"/>
      <c r="H18" s="97"/>
      <c r="I18" s="97"/>
      <c r="J18" s="97"/>
      <c r="K18" s="95"/>
    </row>
    <row r="19" spans="1:11" ht="15.75" thickTop="1" x14ac:dyDescent="0.25">
      <c r="A19" s="7"/>
      <c r="B19" s="2"/>
      <c r="C19" s="2"/>
      <c r="D19" s="2"/>
      <c r="E19" s="2"/>
      <c r="F19" s="2"/>
      <c r="G19" s="2"/>
      <c r="H19" s="2"/>
      <c r="I19" s="2"/>
      <c r="J19" s="2"/>
      <c r="K19" s="6"/>
    </row>
    <row r="20" spans="1:11" x14ac:dyDescent="0.25">
      <c r="A20" s="316" t="s">
        <v>163</v>
      </c>
      <c r="B20" s="301"/>
      <c r="C20" s="301"/>
      <c r="D20" s="301"/>
      <c r="E20" s="301"/>
      <c r="F20" s="301"/>
      <c r="G20" s="301"/>
      <c r="H20" s="301"/>
      <c r="I20" s="301"/>
      <c r="J20" s="301"/>
      <c r="K20" s="317"/>
    </row>
    <row r="21" spans="1:11" x14ac:dyDescent="0.25">
      <c r="A21" s="7"/>
      <c r="B21" s="2"/>
      <c r="C21" s="2"/>
      <c r="D21" s="2"/>
      <c r="E21" s="2"/>
      <c r="F21" s="2"/>
      <c r="G21" s="2"/>
      <c r="H21" s="2"/>
      <c r="I21" s="2"/>
      <c r="J21" s="2"/>
      <c r="K21" s="6"/>
    </row>
    <row r="22" spans="1:11" x14ac:dyDescent="0.25">
      <c r="A22" s="7"/>
      <c r="B22" s="2"/>
      <c r="C22" s="2"/>
      <c r="D22" s="2"/>
      <c r="E22" s="2"/>
      <c r="F22" s="2"/>
      <c r="G22" s="2"/>
      <c r="H22" s="2"/>
      <c r="I22" s="2"/>
      <c r="J22" s="2"/>
      <c r="K22" s="6"/>
    </row>
    <row r="23" spans="1:11" x14ac:dyDescent="0.25">
      <c r="A23" s="7"/>
      <c r="B23" s="2"/>
      <c r="C23" s="2"/>
      <c r="D23" s="2"/>
      <c r="E23" s="2"/>
      <c r="F23" s="2"/>
      <c r="G23" s="2"/>
      <c r="H23" s="2"/>
      <c r="I23" s="2"/>
      <c r="J23" s="2"/>
      <c r="K23" s="6"/>
    </row>
    <row r="24" spans="1:11" x14ac:dyDescent="0.25">
      <c r="A24" s="290" t="s">
        <v>164</v>
      </c>
      <c r="B24" s="291"/>
      <c r="C24" s="291"/>
      <c r="D24" s="291"/>
      <c r="E24" s="291"/>
      <c r="F24" s="291"/>
      <c r="G24" s="291"/>
      <c r="H24" s="291"/>
      <c r="I24" s="291"/>
      <c r="J24" s="291"/>
      <c r="K24" s="292"/>
    </row>
    <row r="25" spans="1:11" x14ac:dyDescent="0.25">
      <c r="A25" s="7"/>
      <c r="B25" s="2"/>
      <c r="C25" s="2"/>
      <c r="D25" s="2"/>
      <c r="E25" s="2"/>
      <c r="F25" s="2"/>
      <c r="G25" s="2"/>
      <c r="H25" s="2"/>
      <c r="I25" s="2"/>
      <c r="J25" s="2"/>
      <c r="K25" s="6"/>
    </row>
    <row r="26" spans="1:11" x14ac:dyDescent="0.25">
      <c r="A26" s="507"/>
      <c r="B26" s="508"/>
      <c r="C26" s="508"/>
      <c r="D26" s="508"/>
      <c r="E26" s="15"/>
      <c r="F26" s="15"/>
      <c r="G26" s="15"/>
      <c r="H26" s="15"/>
      <c r="I26" s="2"/>
      <c r="J26" s="15"/>
      <c r="K26" s="6"/>
    </row>
    <row r="27" spans="1:11" ht="15.75" thickBot="1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</row>
  </sheetData>
  <mergeCells count="14">
    <mergeCell ref="K10:K11"/>
    <mergeCell ref="A20:K20"/>
    <mergeCell ref="A24:K24"/>
    <mergeCell ref="A26:D26"/>
    <mergeCell ref="J1:K1"/>
    <mergeCell ref="J2:K2"/>
    <mergeCell ref="I4:K4"/>
    <mergeCell ref="A6:K6"/>
    <mergeCell ref="A7:B7"/>
    <mergeCell ref="A10:A11"/>
    <mergeCell ref="B10:B11"/>
    <mergeCell ref="C10:E10"/>
    <mergeCell ref="F10:H10"/>
    <mergeCell ref="I10:J10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workbookViewId="0">
      <selection activeCell="N7" sqref="N7"/>
    </sheetView>
  </sheetViews>
  <sheetFormatPr baseColWidth="10" defaultRowHeight="15" x14ac:dyDescent="0.25"/>
  <cols>
    <col min="1" max="1" width="16.140625" customWidth="1"/>
    <col min="2" max="2" width="15" customWidth="1"/>
    <col min="3" max="3" width="7.7109375" customWidth="1"/>
    <col min="4" max="4" width="9.85546875" customWidth="1"/>
    <col min="5" max="5" width="11.28515625" customWidth="1"/>
    <col min="6" max="6" width="7.5703125" customWidth="1"/>
    <col min="7" max="7" width="11" customWidth="1"/>
    <col min="8" max="8" width="10" customWidth="1"/>
    <col min="9" max="9" width="8.140625" customWidth="1"/>
    <col min="10" max="10" width="13.42578125" customWidth="1"/>
    <col min="11" max="11" width="19.85546875" customWidth="1"/>
  </cols>
  <sheetData>
    <row r="1" spans="1:11" x14ac:dyDescent="0.25">
      <c r="A1" s="21" t="s">
        <v>146</v>
      </c>
      <c r="B1" s="22"/>
      <c r="C1" s="22"/>
      <c r="D1" s="22"/>
      <c r="E1" s="172"/>
      <c r="F1" s="172"/>
      <c r="G1" s="172"/>
      <c r="H1" s="172"/>
      <c r="I1" s="22" t="s">
        <v>168</v>
      </c>
      <c r="J1" s="382" t="s">
        <v>35</v>
      </c>
      <c r="K1" s="383"/>
    </row>
    <row r="2" spans="1:11" x14ac:dyDescent="0.25">
      <c r="A2" s="19"/>
      <c r="B2" s="18"/>
      <c r="C2" s="18"/>
      <c r="D2" s="18"/>
      <c r="E2" s="198"/>
      <c r="F2" s="198"/>
      <c r="G2" s="198"/>
      <c r="H2" s="198"/>
      <c r="I2" s="2"/>
      <c r="J2" s="301" t="s">
        <v>53</v>
      </c>
      <c r="K2" s="317"/>
    </row>
    <row r="3" spans="1:11" x14ac:dyDescent="0.25">
      <c r="A3" s="19"/>
      <c r="B3" s="18"/>
      <c r="C3" s="18"/>
      <c r="D3" s="18"/>
      <c r="E3" s="198"/>
      <c r="F3" s="198"/>
      <c r="G3" s="198"/>
      <c r="H3" s="198"/>
      <c r="I3" s="2"/>
      <c r="J3" s="2"/>
      <c r="K3" s="6"/>
    </row>
    <row r="4" spans="1:11" x14ac:dyDescent="0.25">
      <c r="A4" s="12" t="s">
        <v>225</v>
      </c>
      <c r="B4" s="13"/>
      <c r="C4" s="18"/>
      <c r="D4" s="18"/>
      <c r="E4" s="198"/>
      <c r="F4" s="198"/>
      <c r="G4" s="198"/>
      <c r="H4" s="198"/>
      <c r="I4" s="301" t="s">
        <v>217</v>
      </c>
      <c r="J4" s="301"/>
      <c r="K4" s="317"/>
    </row>
    <row r="5" spans="1:11" x14ac:dyDescent="0.25">
      <c r="A5" s="7"/>
      <c r="B5" s="2"/>
      <c r="C5" s="2"/>
      <c r="D5" s="2"/>
      <c r="E5" s="2"/>
      <c r="F5" s="2"/>
      <c r="G5" s="2"/>
      <c r="H5" s="2"/>
      <c r="I5" s="2"/>
      <c r="J5" s="2"/>
      <c r="K5" s="6"/>
    </row>
    <row r="6" spans="1:11" ht="23.25" x14ac:dyDescent="0.25">
      <c r="A6" s="326" t="s">
        <v>38</v>
      </c>
      <c r="B6" s="327"/>
      <c r="C6" s="327"/>
      <c r="D6" s="327"/>
      <c r="E6" s="327"/>
      <c r="F6" s="327"/>
      <c r="G6" s="327"/>
      <c r="H6" s="327"/>
      <c r="I6" s="327"/>
      <c r="J6" s="327"/>
      <c r="K6" s="328"/>
    </row>
    <row r="7" spans="1:11" x14ac:dyDescent="0.25">
      <c r="A7" s="304" t="s">
        <v>165</v>
      </c>
      <c r="B7" s="303"/>
      <c r="C7" s="2"/>
      <c r="D7" s="18" t="s">
        <v>166</v>
      </c>
      <c r="E7" s="18"/>
      <c r="F7" s="2"/>
      <c r="G7" s="2"/>
      <c r="H7" s="2"/>
      <c r="I7" s="13" t="s">
        <v>167</v>
      </c>
      <c r="J7" s="2"/>
      <c r="K7" s="6"/>
    </row>
    <row r="8" spans="1:11" x14ac:dyDescent="0.25">
      <c r="A8" s="7"/>
      <c r="B8" s="2"/>
      <c r="C8" s="2"/>
      <c r="D8" s="2"/>
      <c r="E8" s="2"/>
      <c r="F8" s="2"/>
      <c r="G8" s="2"/>
      <c r="H8" s="2"/>
      <c r="I8" s="2"/>
      <c r="J8" s="2"/>
      <c r="K8" s="6"/>
    </row>
    <row r="9" spans="1:11" ht="15.75" thickBo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6"/>
    </row>
    <row r="10" spans="1:11" ht="16.5" thickTop="1" thickBot="1" x14ac:dyDescent="0.3">
      <c r="A10" s="431" t="s">
        <v>27</v>
      </c>
      <c r="B10" s="437" t="s">
        <v>31</v>
      </c>
      <c r="C10" s="437" t="s">
        <v>29</v>
      </c>
      <c r="D10" s="437"/>
      <c r="E10" s="437"/>
      <c r="F10" s="437" t="s">
        <v>30</v>
      </c>
      <c r="G10" s="437"/>
      <c r="H10" s="437"/>
      <c r="I10" s="437" t="s">
        <v>39</v>
      </c>
      <c r="J10" s="437"/>
      <c r="K10" s="505" t="s">
        <v>13</v>
      </c>
    </row>
    <row r="11" spans="1:11" ht="16.5" thickTop="1" thickBot="1" x14ac:dyDescent="0.3">
      <c r="A11" s="431"/>
      <c r="B11" s="437"/>
      <c r="C11" s="201" t="s">
        <v>37</v>
      </c>
      <c r="D11" s="201" t="s">
        <v>36</v>
      </c>
      <c r="E11" s="111" t="s">
        <v>21</v>
      </c>
      <c r="F11" s="201" t="s">
        <v>37</v>
      </c>
      <c r="G11" s="201" t="s">
        <v>36</v>
      </c>
      <c r="H11" s="111" t="s">
        <v>21</v>
      </c>
      <c r="I11" s="201" t="s">
        <v>37</v>
      </c>
      <c r="J11" s="111" t="s">
        <v>21</v>
      </c>
      <c r="K11" s="506"/>
    </row>
    <row r="12" spans="1:11" ht="16.5" thickTop="1" thickBot="1" x14ac:dyDescent="0.3">
      <c r="A12" s="175"/>
      <c r="B12" s="97"/>
      <c r="C12" s="97"/>
      <c r="D12" s="97"/>
      <c r="E12" s="97"/>
      <c r="F12" s="97"/>
      <c r="G12" s="97"/>
      <c r="H12" s="97"/>
      <c r="I12" s="97"/>
      <c r="J12" s="97"/>
      <c r="K12" s="95"/>
    </row>
    <row r="13" spans="1:11" ht="16.5" thickTop="1" thickBot="1" x14ac:dyDescent="0.3">
      <c r="A13" s="175"/>
      <c r="B13" s="97"/>
      <c r="C13" s="97"/>
      <c r="D13" s="97"/>
      <c r="E13" s="97"/>
      <c r="F13" s="97"/>
      <c r="G13" s="97"/>
      <c r="H13" s="97"/>
      <c r="I13" s="97"/>
      <c r="J13" s="97"/>
      <c r="K13" s="95"/>
    </row>
    <row r="14" spans="1:11" ht="16.5" thickTop="1" thickBot="1" x14ac:dyDescent="0.3">
      <c r="A14" s="175"/>
      <c r="B14" s="97"/>
      <c r="C14" s="97"/>
      <c r="D14" s="97"/>
      <c r="E14" s="97"/>
      <c r="F14" s="97"/>
      <c r="G14" s="97"/>
      <c r="H14" s="97"/>
      <c r="I14" s="97"/>
      <c r="J14" s="97"/>
      <c r="K14" s="95"/>
    </row>
    <row r="15" spans="1:11" ht="16.5" thickTop="1" thickBot="1" x14ac:dyDescent="0.3">
      <c r="A15" s="175"/>
      <c r="B15" s="97"/>
      <c r="C15" s="97"/>
      <c r="D15" s="97"/>
      <c r="E15" s="97"/>
      <c r="F15" s="97"/>
      <c r="G15" s="97"/>
      <c r="H15" s="97"/>
      <c r="I15" s="97"/>
      <c r="J15" s="97"/>
      <c r="K15" s="95"/>
    </row>
    <row r="16" spans="1:11" ht="16.5" thickTop="1" thickBot="1" x14ac:dyDescent="0.3">
      <c r="A16" s="109"/>
      <c r="B16" s="97"/>
      <c r="C16" s="97"/>
      <c r="D16" s="97"/>
      <c r="E16" s="97"/>
      <c r="F16" s="97"/>
      <c r="G16" s="97"/>
      <c r="H16" s="97"/>
      <c r="I16" s="97"/>
      <c r="J16" s="97"/>
      <c r="K16" s="95"/>
    </row>
    <row r="17" spans="1:11" ht="16.5" thickTop="1" thickBot="1" x14ac:dyDescent="0.3">
      <c r="A17" s="109"/>
      <c r="B17" s="97"/>
      <c r="C17" s="97"/>
      <c r="D17" s="97"/>
      <c r="E17" s="97"/>
      <c r="F17" s="97"/>
      <c r="G17" s="97"/>
      <c r="H17" s="97"/>
      <c r="I17" s="97"/>
      <c r="J17" s="97"/>
      <c r="K17" s="95"/>
    </row>
    <row r="18" spans="1:11" ht="16.5" thickTop="1" thickBot="1" x14ac:dyDescent="0.3">
      <c r="A18" s="176" t="s">
        <v>40</v>
      </c>
      <c r="B18" s="97"/>
      <c r="C18" s="97"/>
      <c r="D18" s="97"/>
      <c r="E18" s="97"/>
      <c r="F18" s="97"/>
      <c r="G18" s="97"/>
      <c r="H18" s="97"/>
      <c r="I18" s="97"/>
      <c r="J18" s="97"/>
      <c r="K18" s="95"/>
    </row>
    <row r="19" spans="1:11" ht="15.75" thickTop="1" x14ac:dyDescent="0.25">
      <c r="A19" s="7"/>
      <c r="B19" s="2"/>
      <c r="C19" s="2"/>
      <c r="D19" s="2"/>
      <c r="E19" s="2"/>
      <c r="F19" s="2"/>
      <c r="G19" s="2"/>
      <c r="H19" s="2"/>
      <c r="I19" s="2"/>
      <c r="J19" s="2"/>
      <c r="K19" s="6"/>
    </row>
    <row r="20" spans="1:11" x14ac:dyDescent="0.25">
      <c r="A20" s="316" t="s">
        <v>163</v>
      </c>
      <c r="B20" s="301"/>
      <c r="C20" s="301"/>
      <c r="D20" s="301"/>
      <c r="E20" s="301"/>
      <c r="F20" s="301"/>
      <c r="G20" s="301"/>
      <c r="H20" s="301"/>
      <c r="I20" s="301"/>
      <c r="J20" s="301"/>
      <c r="K20" s="317"/>
    </row>
    <row r="21" spans="1:11" x14ac:dyDescent="0.25">
      <c r="A21" s="7"/>
      <c r="B21" s="2"/>
      <c r="C21" s="2"/>
      <c r="D21" s="2"/>
      <c r="E21" s="2"/>
      <c r="F21" s="2"/>
      <c r="G21" s="2"/>
      <c r="H21" s="2"/>
      <c r="I21" s="2"/>
      <c r="J21" s="2"/>
      <c r="K21" s="6"/>
    </row>
    <row r="22" spans="1:11" x14ac:dyDescent="0.25">
      <c r="A22" s="7"/>
      <c r="B22" s="2"/>
      <c r="C22" s="2"/>
      <c r="D22" s="2"/>
      <c r="E22" s="2"/>
      <c r="F22" s="2"/>
      <c r="G22" s="2"/>
      <c r="H22" s="2"/>
      <c r="I22" s="2"/>
      <c r="J22" s="2"/>
      <c r="K22" s="6"/>
    </row>
    <row r="23" spans="1:11" x14ac:dyDescent="0.25">
      <c r="A23" s="7"/>
      <c r="B23" s="2"/>
      <c r="C23" s="2"/>
      <c r="D23" s="2"/>
      <c r="E23" s="2"/>
      <c r="F23" s="2"/>
      <c r="G23" s="2"/>
      <c r="H23" s="2"/>
      <c r="I23" s="2"/>
      <c r="J23" s="2"/>
      <c r="K23" s="6"/>
    </row>
    <row r="24" spans="1:11" x14ac:dyDescent="0.25">
      <c r="A24" s="290" t="s">
        <v>164</v>
      </c>
      <c r="B24" s="291"/>
      <c r="C24" s="291"/>
      <c r="D24" s="291"/>
      <c r="E24" s="291"/>
      <c r="F24" s="291"/>
      <c r="G24" s="291"/>
      <c r="H24" s="291"/>
      <c r="I24" s="291"/>
      <c r="J24" s="291"/>
      <c r="K24" s="292"/>
    </row>
    <row r="25" spans="1:11" x14ac:dyDescent="0.25">
      <c r="A25" s="7"/>
      <c r="B25" s="2"/>
      <c r="C25" s="2"/>
      <c r="D25" s="2"/>
      <c r="E25" s="2"/>
      <c r="F25" s="2"/>
      <c r="G25" s="2"/>
      <c r="H25" s="2"/>
      <c r="I25" s="2"/>
      <c r="J25" s="2"/>
      <c r="K25" s="6"/>
    </row>
    <row r="26" spans="1:11" x14ac:dyDescent="0.25">
      <c r="A26" s="507"/>
      <c r="B26" s="508"/>
      <c r="C26" s="508"/>
      <c r="D26" s="508"/>
      <c r="E26" s="15"/>
      <c r="F26" s="15"/>
      <c r="G26" s="15"/>
      <c r="H26" s="15"/>
      <c r="I26" s="2"/>
      <c r="J26" s="15"/>
      <c r="K26" s="6"/>
    </row>
    <row r="27" spans="1:11" ht="15.75" thickBot="1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</row>
  </sheetData>
  <mergeCells count="14">
    <mergeCell ref="J2:K2"/>
    <mergeCell ref="J1:K1"/>
    <mergeCell ref="I4:K4"/>
    <mergeCell ref="A7:B7"/>
    <mergeCell ref="A20:K20"/>
    <mergeCell ref="A24:K24"/>
    <mergeCell ref="A26:D26"/>
    <mergeCell ref="A6:K6"/>
    <mergeCell ref="A10:A11"/>
    <mergeCell ref="B10:B11"/>
    <mergeCell ref="C10:E10"/>
    <mergeCell ref="F10:H10"/>
    <mergeCell ref="I10:J10"/>
    <mergeCell ref="K10:K11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6"/>
  <sheetViews>
    <sheetView workbookViewId="0">
      <selection activeCell="T14" sqref="T14"/>
    </sheetView>
  </sheetViews>
  <sheetFormatPr baseColWidth="10" defaultRowHeight="15" x14ac:dyDescent="0.25"/>
  <cols>
    <col min="1" max="1" width="4" customWidth="1"/>
    <col min="2" max="2" width="8.85546875" customWidth="1"/>
    <col min="3" max="3" width="1.28515625" customWidth="1"/>
    <col min="4" max="4" width="1.28515625" hidden="1" customWidth="1"/>
    <col min="5" max="5" width="33.85546875" customWidth="1"/>
    <col min="6" max="6" width="7.7109375" customWidth="1"/>
    <col min="7" max="7" width="11.5703125" customWidth="1"/>
    <col min="8" max="8" width="8.5703125" customWidth="1"/>
    <col min="9" max="9" width="8.42578125" style="36" customWidth="1"/>
    <col min="10" max="10" width="9.85546875" customWidth="1"/>
    <col min="11" max="11" width="7.5703125" customWidth="1"/>
    <col min="12" max="12" width="8.5703125" customWidth="1"/>
    <col min="13" max="13" width="8.140625" customWidth="1"/>
    <col min="14" max="14" width="12.42578125" customWidth="1"/>
  </cols>
  <sheetData>
    <row r="1" spans="1:14" ht="15.75" thickTop="1" x14ac:dyDescent="0.25">
      <c r="A1" s="62" t="s">
        <v>146</v>
      </c>
      <c r="B1" s="63"/>
      <c r="C1" s="63"/>
      <c r="D1" s="63"/>
      <c r="E1" s="63"/>
      <c r="F1" s="63"/>
      <c r="G1" s="63"/>
      <c r="H1" s="63"/>
      <c r="I1" s="64"/>
      <c r="J1" s="118"/>
      <c r="K1" s="118"/>
      <c r="L1" s="485" t="s">
        <v>35</v>
      </c>
      <c r="M1" s="485"/>
      <c r="N1" s="486"/>
    </row>
    <row r="2" spans="1:14" x14ac:dyDescent="0.25">
      <c r="A2" s="66"/>
      <c r="C2" s="18"/>
      <c r="D2" s="18"/>
      <c r="E2" s="18"/>
      <c r="F2" s="18"/>
      <c r="G2" s="18"/>
      <c r="H2" s="18"/>
      <c r="I2" s="30"/>
      <c r="J2" s="117"/>
      <c r="K2" s="117"/>
      <c r="L2" s="291" t="s">
        <v>53</v>
      </c>
      <c r="M2" s="291"/>
      <c r="N2" s="511"/>
    </row>
    <row r="3" spans="1:14" x14ac:dyDescent="0.25">
      <c r="A3" s="66"/>
      <c r="B3" s="18"/>
      <c r="C3" s="18"/>
      <c r="D3" s="18"/>
      <c r="E3" s="18"/>
      <c r="F3" s="18"/>
      <c r="G3" s="18"/>
      <c r="H3" s="18"/>
      <c r="I3" s="30"/>
      <c r="J3" s="117"/>
      <c r="K3" s="117"/>
      <c r="L3" s="2"/>
      <c r="M3" s="2"/>
      <c r="N3" s="67"/>
    </row>
    <row r="4" spans="1:14" x14ac:dyDescent="0.25">
      <c r="A4" s="68" t="s">
        <v>257</v>
      </c>
      <c r="B4" s="13"/>
      <c r="C4" s="13"/>
      <c r="D4" s="13"/>
      <c r="E4" s="13"/>
      <c r="F4" s="18"/>
      <c r="G4" s="18"/>
      <c r="H4" s="18"/>
      <c r="I4" s="30"/>
      <c r="J4" s="117"/>
      <c r="K4" s="301" t="s">
        <v>211</v>
      </c>
      <c r="L4" s="301"/>
      <c r="M4" s="301"/>
      <c r="N4" s="487"/>
    </row>
    <row r="5" spans="1:14" x14ac:dyDescent="0.25">
      <c r="A5" s="69"/>
      <c r="B5" s="2"/>
      <c r="C5" s="2"/>
      <c r="D5" s="2"/>
      <c r="E5" s="2"/>
      <c r="F5" s="2"/>
      <c r="G5" s="2"/>
      <c r="H5" s="2"/>
      <c r="I5" s="31"/>
      <c r="J5" s="2"/>
      <c r="K5" s="2"/>
      <c r="L5" s="2"/>
      <c r="M5" s="2"/>
      <c r="N5" s="67"/>
    </row>
    <row r="6" spans="1:14" ht="23.25" x14ac:dyDescent="0.25">
      <c r="A6" s="491" t="s">
        <v>93</v>
      </c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492"/>
    </row>
    <row r="7" spans="1:14" x14ac:dyDescent="0.25">
      <c r="A7" s="69"/>
      <c r="B7" s="2"/>
      <c r="C7" s="2"/>
      <c r="D7" s="2"/>
      <c r="E7" s="2"/>
      <c r="F7" s="2"/>
      <c r="G7" s="2"/>
      <c r="H7" s="2"/>
      <c r="I7" s="31"/>
      <c r="J7" s="2"/>
      <c r="K7" s="2"/>
      <c r="L7" s="2"/>
      <c r="M7" s="2"/>
      <c r="N7" s="67"/>
    </row>
    <row r="8" spans="1:14" ht="15.75" thickBot="1" x14ac:dyDescent="0.3">
      <c r="A8" s="69"/>
      <c r="B8" s="2"/>
      <c r="C8" s="2"/>
      <c r="D8" s="2"/>
      <c r="E8" s="2"/>
      <c r="F8" s="2"/>
      <c r="G8" s="2"/>
      <c r="H8" s="2"/>
      <c r="I8" s="31"/>
      <c r="J8" s="2"/>
      <c r="K8" s="2"/>
      <c r="L8" s="2"/>
      <c r="M8" s="2"/>
      <c r="N8" s="67"/>
    </row>
    <row r="9" spans="1:14" ht="30" customHeight="1" thickTop="1" thickBot="1" x14ac:dyDescent="0.3">
      <c r="A9" s="437" t="s">
        <v>94</v>
      </c>
      <c r="B9" s="437"/>
      <c r="C9" s="437"/>
      <c r="D9" s="437"/>
      <c r="E9" s="437" t="s">
        <v>10</v>
      </c>
      <c r="F9" s="437" t="s">
        <v>47</v>
      </c>
      <c r="G9" s="437"/>
      <c r="H9" s="437" t="s">
        <v>48</v>
      </c>
      <c r="I9" s="437"/>
      <c r="J9" s="437"/>
      <c r="K9" s="437"/>
      <c r="L9" s="437"/>
      <c r="M9" s="437" t="s">
        <v>95</v>
      </c>
      <c r="N9" s="437"/>
    </row>
    <row r="10" spans="1:14" ht="17.25" customHeight="1" thickTop="1" thickBot="1" x14ac:dyDescent="0.3">
      <c r="A10" s="437"/>
      <c r="B10" s="437"/>
      <c r="C10" s="437"/>
      <c r="D10" s="437"/>
      <c r="E10" s="437"/>
      <c r="F10" s="437"/>
      <c r="G10" s="437"/>
      <c r="H10" s="437" t="s">
        <v>29</v>
      </c>
      <c r="I10" s="437"/>
      <c r="J10" s="437"/>
      <c r="K10" s="437" t="s">
        <v>30</v>
      </c>
      <c r="L10" s="437"/>
      <c r="M10" s="437"/>
      <c r="N10" s="437"/>
    </row>
    <row r="11" spans="1:14" ht="27.75" customHeight="1" thickTop="1" thickBot="1" x14ac:dyDescent="0.3">
      <c r="A11" s="437"/>
      <c r="B11" s="437"/>
      <c r="C11" s="437"/>
      <c r="D11" s="437"/>
      <c r="E11" s="437"/>
      <c r="F11" s="437" t="s">
        <v>37</v>
      </c>
      <c r="G11" s="437" t="s">
        <v>21</v>
      </c>
      <c r="H11" s="116" t="s">
        <v>37</v>
      </c>
      <c r="I11" s="116" t="s">
        <v>36</v>
      </c>
      <c r="J11" s="116" t="s">
        <v>21</v>
      </c>
      <c r="K11" s="125" t="s">
        <v>37</v>
      </c>
      <c r="L11" s="116" t="s">
        <v>21</v>
      </c>
      <c r="M11" s="116" t="s">
        <v>37</v>
      </c>
      <c r="N11" s="116" t="s">
        <v>21</v>
      </c>
    </row>
    <row r="12" spans="1:14" ht="15" hidden="1" customHeight="1" x14ac:dyDescent="0.3">
      <c r="A12" s="437"/>
      <c r="B12" s="437"/>
      <c r="C12" s="437"/>
      <c r="D12" s="437"/>
      <c r="E12" s="437"/>
      <c r="F12" s="437"/>
      <c r="G12" s="437"/>
      <c r="H12" s="116" t="s">
        <v>37</v>
      </c>
      <c r="I12" s="126" t="s">
        <v>21</v>
      </c>
      <c r="J12" s="116" t="s">
        <v>37</v>
      </c>
      <c r="K12" s="125"/>
      <c r="L12" s="116" t="s">
        <v>37</v>
      </c>
      <c r="M12" s="116"/>
      <c r="N12" s="111" t="s">
        <v>21</v>
      </c>
    </row>
    <row r="13" spans="1:14" ht="16.5" thickTop="1" thickBot="1" x14ac:dyDescent="0.3">
      <c r="A13" s="514"/>
      <c r="B13" s="514"/>
      <c r="C13" s="514"/>
      <c r="D13" s="514"/>
      <c r="E13" s="127" t="s">
        <v>169</v>
      </c>
      <c r="F13" s="128"/>
      <c r="G13" s="128"/>
      <c r="H13" s="128"/>
      <c r="I13" s="129"/>
      <c r="J13" s="128"/>
      <c r="K13" s="128"/>
      <c r="L13" s="128"/>
      <c r="M13" s="128"/>
      <c r="N13" s="130"/>
    </row>
    <row r="14" spans="1:14" ht="16.5" thickTop="1" thickBot="1" x14ac:dyDescent="0.3">
      <c r="A14" s="510"/>
      <c r="B14" s="510"/>
      <c r="C14" s="510"/>
      <c r="D14" s="510"/>
      <c r="E14" s="113"/>
      <c r="F14" s="97"/>
      <c r="G14" s="97"/>
      <c r="H14" s="97"/>
      <c r="I14" s="131"/>
      <c r="J14" s="97"/>
      <c r="K14" s="97"/>
      <c r="L14" s="97"/>
      <c r="M14" s="97"/>
      <c r="N14" s="131"/>
    </row>
    <row r="15" spans="1:14" ht="16.5" thickTop="1" thickBot="1" x14ac:dyDescent="0.3">
      <c r="A15" s="513"/>
      <c r="B15" s="513"/>
      <c r="C15" s="513"/>
      <c r="D15" s="513"/>
      <c r="E15" s="97"/>
      <c r="F15" s="97"/>
      <c r="G15" s="97"/>
      <c r="H15" s="97"/>
      <c r="I15" s="132"/>
      <c r="J15" s="97"/>
      <c r="K15" s="97"/>
      <c r="L15" s="97"/>
      <c r="M15" s="97"/>
      <c r="N15" s="132"/>
    </row>
    <row r="16" spans="1:14" ht="16.5" thickTop="1" thickBot="1" x14ac:dyDescent="0.3">
      <c r="A16" s="509"/>
      <c r="B16" s="509"/>
      <c r="C16" s="509"/>
      <c r="D16" s="509"/>
      <c r="E16" s="133"/>
      <c r="F16" s="134"/>
      <c r="G16" s="134"/>
      <c r="H16" s="134"/>
      <c r="I16" s="135"/>
      <c r="J16" s="134"/>
      <c r="K16" s="134"/>
      <c r="L16" s="134"/>
      <c r="M16" s="134"/>
      <c r="N16" s="135"/>
    </row>
    <row r="17" spans="1:14" ht="16.5" thickTop="1" thickBot="1" x14ac:dyDescent="0.3">
      <c r="A17" s="509"/>
      <c r="B17" s="509"/>
      <c r="C17" s="509"/>
      <c r="D17" s="509"/>
      <c r="E17" s="127" t="s">
        <v>170</v>
      </c>
      <c r="F17" s="134"/>
      <c r="G17" s="134"/>
      <c r="H17" s="134"/>
      <c r="I17" s="135"/>
      <c r="J17" s="134"/>
      <c r="K17" s="134"/>
      <c r="L17" s="134"/>
      <c r="M17" s="134"/>
      <c r="N17" s="135"/>
    </row>
    <row r="18" spans="1:14" ht="16.5" thickTop="1" thickBot="1" x14ac:dyDescent="0.3">
      <c r="A18" s="510"/>
      <c r="B18" s="510"/>
      <c r="C18" s="510"/>
      <c r="D18" s="510"/>
      <c r="E18" s="113"/>
      <c r="F18" s="97"/>
      <c r="G18" s="97"/>
      <c r="H18" s="97"/>
      <c r="I18" s="131"/>
      <c r="J18" s="97"/>
      <c r="K18" s="97"/>
      <c r="L18" s="97"/>
      <c r="M18" s="97"/>
      <c r="N18" s="131"/>
    </row>
    <row r="19" spans="1:14" ht="16.5" thickTop="1" thickBot="1" x14ac:dyDescent="0.3">
      <c r="A19" s="513"/>
      <c r="B19" s="513"/>
      <c r="C19" s="513"/>
      <c r="D19" s="513"/>
      <c r="E19" s="97"/>
      <c r="F19" s="97"/>
      <c r="G19" s="97"/>
      <c r="H19" s="97"/>
      <c r="I19" s="132"/>
      <c r="J19" s="97"/>
      <c r="K19" s="97"/>
      <c r="L19" s="97"/>
      <c r="M19" s="97"/>
      <c r="N19" s="132"/>
    </row>
    <row r="20" spans="1:14" ht="16.5" thickTop="1" thickBot="1" x14ac:dyDescent="0.3">
      <c r="A20" s="513"/>
      <c r="B20" s="513"/>
      <c r="C20" s="513"/>
      <c r="D20" s="513"/>
      <c r="E20" s="97"/>
      <c r="F20" s="97"/>
      <c r="G20" s="97"/>
      <c r="H20" s="136"/>
      <c r="I20" s="132"/>
      <c r="J20" s="97"/>
      <c r="K20" s="97"/>
      <c r="L20" s="97"/>
      <c r="M20" s="97"/>
      <c r="N20" s="132"/>
    </row>
    <row r="21" spans="1:14" ht="15.75" thickTop="1" x14ac:dyDescent="0.25">
      <c r="A21" s="69"/>
      <c r="B21" s="2"/>
      <c r="C21" s="2"/>
      <c r="D21" s="2"/>
      <c r="E21" s="2"/>
      <c r="F21" s="2"/>
      <c r="G21" s="2"/>
      <c r="H21" s="2"/>
      <c r="I21" s="31"/>
      <c r="J21" s="2"/>
      <c r="K21" s="2"/>
      <c r="L21" s="2"/>
      <c r="M21" s="2"/>
      <c r="N21" s="67"/>
    </row>
    <row r="22" spans="1:14" x14ac:dyDescent="0.25">
      <c r="A22" s="66"/>
      <c r="B22" s="18"/>
      <c r="C22" s="18"/>
      <c r="D22" s="18"/>
      <c r="E22" s="18"/>
      <c r="F22" s="18"/>
      <c r="G22" s="18"/>
      <c r="H22" s="18"/>
      <c r="I22" s="30"/>
      <c r="J22" s="18"/>
      <c r="K22" s="18"/>
      <c r="L22" s="2"/>
      <c r="M22" s="2"/>
      <c r="N22" s="107"/>
    </row>
    <row r="23" spans="1:14" x14ac:dyDescent="0.25">
      <c r="A23" s="488" t="s">
        <v>15</v>
      </c>
      <c r="B23" s="301"/>
      <c r="C23" s="301"/>
      <c r="D23" s="301"/>
      <c r="E23" s="301"/>
      <c r="F23" s="13"/>
      <c r="G23" s="13"/>
      <c r="H23" s="13"/>
      <c r="I23" s="51"/>
      <c r="J23" s="13"/>
      <c r="K23" s="301" t="s">
        <v>17</v>
      </c>
      <c r="L23" s="301"/>
      <c r="M23" s="301"/>
      <c r="N23" s="487"/>
    </row>
    <row r="24" spans="1:14" x14ac:dyDescent="0.25">
      <c r="A24" s="68"/>
      <c r="B24" s="13"/>
      <c r="C24" s="13"/>
      <c r="D24" s="13"/>
      <c r="E24" s="13"/>
      <c r="F24" s="13"/>
      <c r="G24" s="13"/>
      <c r="H24" s="13"/>
      <c r="I24" s="51"/>
      <c r="J24" s="13"/>
      <c r="K24" s="13"/>
      <c r="L24" s="13"/>
      <c r="M24" s="13"/>
      <c r="N24" s="67"/>
    </row>
    <row r="25" spans="1:14" x14ac:dyDescent="0.25">
      <c r="A25" s="68"/>
      <c r="B25" s="13"/>
      <c r="C25" s="13"/>
      <c r="D25" s="13"/>
      <c r="E25" s="13"/>
      <c r="F25" s="13"/>
      <c r="G25" s="13"/>
      <c r="H25" s="13"/>
      <c r="I25" s="51"/>
      <c r="J25" s="13"/>
      <c r="K25" s="13"/>
      <c r="L25" s="13"/>
      <c r="M25" s="13"/>
      <c r="N25" s="67"/>
    </row>
    <row r="26" spans="1:14" x14ac:dyDescent="0.25">
      <c r="A26" s="68"/>
      <c r="B26" s="13"/>
      <c r="C26" s="13"/>
      <c r="D26" s="13"/>
      <c r="E26" s="13"/>
      <c r="F26" s="13"/>
      <c r="G26" s="13"/>
      <c r="H26" s="13"/>
      <c r="I26" s="51"/>
      <c r="J26" s="13"/>
      <c r="K26" s="13"/>
      <c r="L26" s="13"/>
      <c r="M26" s="13"/>
      <c r="N26" s="67"/>
    </row>
    <row r="27" spans="1:14" x14ac:dyDescent="0.25">
      <c r="A27" s="488" t="s">
        <v>62</v>
      </c>
      <c r="B27" s="301"/>
      <c r="C27" s="301"/>
      <c r="D27" s="301"/>
      <c r="E27" s="301"/>
      <c r="F27" s="223"/>
      <c r="G27" s="223"/>
      <c r="H27" s="223"/>
      <c r="I27" s="223"/>
      <c r="J27" s="223"/>
      <c r="K27" s="301" t="s">
        <v>62</v>
      </c>
      <c r="L27" s="301"/>
      <c r="M27" s="301"/>
      <c r="N27" s="487"/>
    </row>
    <row r="28" spans="1:14" x14ac:dyDescent="0.25">
      <c r="A28" s="137"/>
      <c r="B28" s="45"/>
      <c r="C28" s="45"/>
      <c r="D28" s="45"/>
      <c r="E28" s="45"/>
      <c r="F28" s="45"/>
      <c r="G28" s="45"/>
      <c r="H28" s="119"/>
      <c r="I28" s="34"/>
      <c r="J28" s="15"/>
      <c r="K28" s="15"/>
      <c r="L28" s="2"/>
      <c r="M28" s="2"/>
      <c r="N28" s="110"/>
    </row>
    <row r="29" spans="1:14" ht="15.75" thickBot="1" x14ac:dyDescent="0.3">
      <c r="A29" s="92"/>
      <c r="B29" s="70"/>
      <c r="C29" s="70"/>
      <c r="D29" s="70"/>
      <c r="E29" s="70"/>
      <c r="F29" s="70"/>
      <c r="G29" s="70"/>
      <c r="H29" s="70"/>
      <c r="I29" s="138"/>
      <c r="J29" s="70"/>
      <c r="K29" s="70"/>
      <c r="L29" s="70"/>
      <c r="M29" s="70"/>
      <c r="N29" s="71"/>
    </row>
    <row r="30" spans="1:14" ht="15.75" thickTop="1" x14ac:dyDescent="0.25"/>
    <row r="32" spans="1:14" x14ac:dyDescent="0.25">
      <c r="A32" s="225"/>
    </row>
    <row r="34" spans="1:5" x14ac:dyDescent="0.25">
      <c r="A34" s="512"/>
      <c r="B34" s="512"/>
      <c r="C34" s="512"/>
      <c r="D34" s="512"/>
      <c r="E34" s="512"/>
    </row>
    <row r="36" spans="1:5" x14ac:dyDescent="0.25">
      <c r="E36" s="226"/>
    </row>
  </sheetData>
  <mergeCells count="26">
    <mergeCell ref="A34:E34"/>
    <mergeCell ref="K23:N23"/>
    <mergeCell ref="A19:D19"/>
    <mergeCell ref="A20:D20"/>
    <mergeCell ref="K4:N4"/>
    <mergeCell ref="A17:D17"/>
    <mergeCell ref="F11:F12"/>
    <mergeCell ref="G11:G12"/>
    <mergeCell ref="F9:G10"/>
    <mergeCell ref="H10:J10"/>
    <mergeCell ref="A27:E27"/>
    <mergeCell ref="A23:E23"/>
    <mergeCell ref="K27:N27"/>
    <mergeCell ref="A13:D13"/>
    <mergeCell ref="A14:D14"/>
    <mergeCell ref="A15:D15"/>
    <mergeCell ref="L2:N2"/>
    <mergeCell ref="L1:N1"/>
    <mergeCell ref="A6:N6"/>
    <mergeCell ref="E9:E12"/>
    <mergeCell ref="A9:D12"/>
    <mergeCell ref="A16:D16"/>
    <mergeCell ref="A18:D18"/>
    <mergeCell ref="K10:L10"/>
    <mergeCell ref="H9:L9"/>
    <mergeCell ref="M9:N10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0"/>
  <sheetViews>
    <sheetView workbookViewId="0">
      <selection activeCell="B1" sqref="B1"/>
    </sheetView>
  </sheetViews>
  <sheetFormatPr baseColWidth="10" defaultRowHeight="15" x14ac:dyDescent="0.25"/>
  <cols>
    <col min="1" max="1" width="4" customWidth="1"/>
    <col min="2" max="2" width="7.85546875" customWidth="1"/>
    <col min="3" max="3" width="9.5703125" customWidth="1"/>
    <col min="4" max="4" width="9.42578125" customWidth="1"/>
    <col min="5" max="5" width="17.5703125" customWidth="1"/>
    <col min="6" max="6" width="8" customWidth="1"/>
    <col min="7" max="7" width="8.85546875" customWidth="1"/>
    <col min="8" max="8" width="6.42578125" customWidth="1"/>
    <col min="9" max="9" width="8.140625" style="36" customWidth="1"/>
    <col min="10" max="10" width="5.5703125" customWidth="1"/>
    <col min="11" max="11" width="7.42578125" customWidth="1"/>
    <col min="12" max="12" width="15.42578125" customWidth="1"/>
    <col min="13" max="13" width="8.140625" customWidth="1"/>
    <col min="14" max="14" width="14" customWidth="1"/>
  </cols>
  <sheetData>
    <row r="1" spans="1:14" x14ac:dyDescent="0.25">
      <c r="A1" s="21" t="s">
        <v>146</v>
      </c>
      <c r="B1" s="22"/>
      <c r="C1" s="22"/>
      <c r="D1" s="22"/>
      <c r="E1" s="22"/>
      <c r="F1" s="22"/>
      <c r="G1" s="22"/>
      <c r="H1" s="22"/>
      <c r="I1" s="29"/>
      <c r="J1" s="172"/>
      <c r="K1" s="172"/>
      <c r="L1" s="382" t="s">
        <v>35</v>
      </c>
      <c r="M1" s="382"/>
      <c r="N1" s="383"/>
    </row>
    <row r="2" spans="1:14" x14ac:dyDescent="0.25">
      <c r="A2" s="19"/>
      <c r="B2" s="18"/>
      <c r="C2" s="18"/>
      <c r="D2" s="18"/>
      <c r="E2" s="18"/>
      <c r="F2" s="18"/>
      <c r="G2" s="18"/>
      <c r="H2" s="18"/>
      <c r="I2" s="30"/>
      <c r="J2" s="198"/>
      <c r="K2" s="198"/>
      <c r="L2" s="301" t="s">
        <v>227</v>
      </c>
      <c r="M2" s="301"/>
      <c r="N2" s="317"/>
    </row>
    <row r="3" spans="1:14" x14ac:dyDescent="0.25">
      <c r="A3" s="19"/>
      <c r="B3" s="18"/>
      <c r="C3" s="18"/>
      <c r="D3" s="18"/>
      <c r="E3" s="18"/>
      <c r="F3" s="18"/>
      <c r="G3" s="18"/>
      <c r="H3" s="18"/>
      <c r="I3" s="30"/>
      <c r="J3" s="198"/>
      <c r="K3" s="198"/>
      <c r="L3" s="198"/>
      <c r="M3" s="2"/>
      <c r="N3" s="6"/>
    </row>
    <row r="4" spans="1:14" x14ac:dyDescent="0.25">
      <c r="A4" s="12" t="s">
        <v>228</v>
      </c>
      <c r="B4" s="13"/>
      <c r="C4" s="13"/>
      <c r="D4" s="13"/>
      <c r="E4" s="13"/>
      <c r="F4" s="18"/>
      <c r="G4" s="18"/>
      <c r="H4" s="18"/>
      <c r="I4" s="30"/>
      <c r="J4" s="301" t="s">
        <v>229</v>
      </c>
      <c r="K4" s="301"/>
      <c r="L4" s="301"/>
      <c r="M4" s="301"/>
      <c r="N4" s="6"/>
    </row>
    <row r="5" spans="1:14" x14ac:dyDescent="0.25">
      <c r="A5" s="7"/>
      <c r="B5" s="2"/>
      <c r="C5" s="2"/>
      <c r="D5" s="2"/>
      <c r="E5" s="2"/>
      <c r="F5" s="2"/>
      <c r="G5" s="2"/>
      <c r="H5" s="2"/>
      <c r="I5" s="31"/>
      <c r="J5" s="2"/>
      <c r="K5" s="2"/>
      <c r="L5" s="2"/>
      <c r="M5" s="2"/>
      <c r="N5" s="6"/>
    </row>
    <row r="6" spans="1:14" ht="23.25" x14ac:dyDescent="0.25">
      <c r="A6" s="326" t="s">
        <v>172</v>
      </c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8"/>
    </row>
    <row r="7" spans="1:14" x14ac:dyDescent="0.25">
      <c r="A7" s="7"/>
      <c r="B7" s="2"/>
      <c r="C7" s="2"/>
      <c r="D7" s="2"/>
      <c r="E7" s="2"/>
      <c r="F7" s="2"/>
      <c r="G7" s="2"/>
      <c r="H7" s="2"/>
      <c r="I7" s="31"/>
      <c r="J7" s="2"/>
      <c r="K7" s="2"/>
      <c r="L7" s="2"/>
      <c r="M7" s="2"/>
      <c r="N7" s="6"/>
    </row>
    <row r="8" spans="1:14" x14ac:dyDescent="0.25">
      <c r="A8" s="7"/>
      <c r="B8" s="2"/>
      <c r="C8" s="2"/>
      <c r="D8" s="2"/>
      <c r="E8" s="2"/>
      <c r="F8" s="2"/>
      <c r="G8" s="2"/>
      <c r="H8" s="2"/>
      <c r="I8" s="31"/>
      <c r="J8" s="2"/>
      <c r="K8" s="2"/>
      <c r="L8" s="2"/>
      <c r="M8" s="2"/>
      <c r="N8" s="6"/>
    </row>
    <row r="9" spans="1:14" ht="30" customHeight="1" x14ac:dyDescent="0.25">
      <c r="A9" s="521" t="s">
        <v>41</v>
      </c>
      <c r="B9" s="515" t="s">
        <v>42</v>
      </c>
      <c r="C9" s="515" t="s">
        <v>230</v>
      </c>
      <c r="D9" s="515" t="s">
        <v>6</v>
      </c>
      <c r="E9" s="515" t="s">
        <v>10</v>
      </c>
      <c r="F9" s="515" t="s">
        <v>174</v>
      </c>
      <c r="G9" s="515"/>
      <c r="H9" s="515" t="s">
        <v>43</v>
      </c>
      <c r="I9" s="515"/>
      <c r="J9" s="515" t="s">
        <v>30</v>
      </c>
      <c r="K9" s="515"/>
      <c r="L9" s="515" t="s">
        <v>44</v>
      </c>
      <c r="M9" s="515" t="s">
        <v>173</v>
      </c>
      <c r="N9" s="516"/>
    </row>
    <row r="10" spans="1:14" x14ac:dyDescent="0.25">
      <c r="A10" s="521"/>
      <c r="B10" s="515"/>
      <c r="C10" s="515"/>
      <c r="D10" s="515"/>
      <c r="E10" s="515"/>
      <c r="F10" s="211" t="s">
        <v>37</v>
      </c>
      <c r="G10" s="211" t="s">
        <v>21</v>
      </c>
      <c r="H10" s="211" t="s">
        <v>37</v>
      </c>
      <c r="I10" s="32" t="s">
        <v>21</v>
      </c>
      <c r="J10" s="211" t="s">
        <v>37</v>
      </c>
      <c r="K10" s="211" t="s">
        <v>21</v>
      </c>
      <c r="L10" s="515"/>
      <c r="M10" s="211" t="s">
        <v>37</v>
      </c>
      <c r="N10" s="28" t="s">
        <v>21</v>
      </c>
    </row>
    <row r="11" spans="1:14" x14ac:dyDescent="0.25">
      <c r="A11" s="179" t="s">
        <v>175</v>
      </c>
      <c r="B11" s="177"/>
      <c r="C11" s="177"/>
      <c r="D11" s="177"/>
      <c r="E11" s="178"/>
      <c r="F11" s="58"/>
      <c r="G11" s="58"/>
      <c r="H11" s="58"/>
      <c r="I11" s="213"/>
      <c r="J11" s="58"/>
      <c r="K11" s="58"/>
      <c r="L11" s="58"/>
      <c r="M11" s="58"/>
      <c r="N11" s="60"/>
    </row>
    <row r="12" spans="1:14" x14ac:dyDescent="0.25">
      <c r="A12" s="50" t="s">
        <v>169</v>
      </c>
      <c r="B12" s="48"/>
      <c r="C12" s="48"/>
      <c r="D12" s="48"/>
      <c r="E12" s="48"/>
      <c r="F12" s="1"/>
      <c r="G12" s="1"/>
      <c r="H12" s="1"/>
      <c r="I12" s="39"/>
      <c r="J12" s="1"/>
      <c r="K12" s="1"/>
      <c r="L12" s="1"/>
      <c r="M12" s="1"/>
      <c r="N12" s="43"/>
    </row>
    <row r="13" spans="1:14" x14ac:dyDescent="0.25">
      <c r="A13" s="25"/>
      <c r="B13" s="37"/>
      <c r="C13" s="37"/>
      <c r="D13" s="1"/>
      <c r="E13" s="1"/>
      <c r="F13" s="1"/>
      <c r="G13" s="1"/>
      <c r="H13" s="1"/>
      <c r="I13" s="33"/>
      <c r="J13" s="1"/>
      <c r="K13" s="1"/>
      <c r="L13" s="1"/>
      <c r="M13" s="1"/>
      <c r="N13" s="42"/>
    </row>
    <row r="14" spans="1:14" x14ac:dyDescent="0.25">
      <c r="A14" s="38"/>
      <c r="B14" s="47"/>
      <c r="C14" s="47"/>
      <c r="D14" s="46"/>
      <c r="E14" s="47"/>
      <c r="F14" s="46"/>
      <c r="G14" s="46"/>
      <c r="H14" s="46"/>
      <c r="I14" s="59"/>
      <c r="J14" s="46"/>
      <c r="K14" s="46"/>
      <c r="L14" s="46"/>
      <c r="M14" s="46"/>
      <c r="N14" s="61"/>
    </row>
    <row r="15" spans="1:14" x14ac:dyDescent="0.25">
      <c r="A15" s="50" t="s">
        <v>169</v>
      </c>
      <c r="B15" s="48"/>
      <c r="C15" s="48"/>
      <c r="D15" s="48"/>
      <c r="E15" s="48"/>
      <c r="F15" s="1"/>
      <c r="G15" s="1"/>
      <c r="H15" s="1"/>
      <c r="I15" s="39"/>
      <c r="J15" s="1"/>
      <c r="K15" s="1"/>
      <c r="L15" s="1"/>
      <c r="M15" s="1"/>
      <c r="N15" s="43"/>
    </row>
    <row r="16" spans="1:14" x14ac:dyDescent="0.25">
      <c r="A16" s="50"/>
      <c r="B16" s="48"/>
      <c r="C16" s="48"/>
      <c r="D16" s="48"/>
      <c r="E16" s="48"/>
      <c r="F16" s="1"/>
      <c r="G16" s="1"/>
      <c r="H16" s="1"/>
      <c r="I16" s="39"/>
      <c r="J16" s="1"/>
      <c r="K16" s="1"/>
      <c r="L16" s="1"/>
      <c r="M16" s="1"/>
      <c r="N16" s="43"/>
    </row>
    <row r="17" spans="1:14" x14ac:dyDescent="0.25">
      <c r="A17" s="50"/>
      <c r="B17" s="48"/>
      <c r="C17" s="48"/>
      <c r="D17" s="48"/>
      <c r="E17" s="48"/>
      <c r="F17" s="1"/>
      <c r="G17" s="1"/>
      <c r="H17" s="1"/>
      <c r="I17" s="39"/>
      <c r="J17" s="1"/>
      <c r="K17" s="1"/>
      <c r="L17" s="1"/>
      <c r="M17" s="1"/>
      <c r="N17" s="43"/>
    </row>
    <row r="18" spans="1:14" x14ac:dyDescent="0.25">
      <c r="A18" s="180" t="s">
        <v>176</v>
      </c>
      <c r="B18" s="181"/>
      <c r="C18" s="181"/>
      <c r="D18" s="181"/>
      <c r="E18" s="182"/>
      <c r="F18" s="1"/>
      <c r="G18" s="1"/>
      <c r="H18" s="1"/>
      <c r="I18" s="39"/>
      <c r="J18" s="1"/>
      <c r="K18" s="1"/>
      <c r="L18" s="1"/>
      <c r="M18" s="1"/>
      <c r="N18" s="43"/>
    </row>
    <row r="19" spans="1:14" x14ac:dyDescent="0.25">
      <c r="A19" s="518" t="s">
        <v>169</v>
      </c>
      <c r="B19" s="519"/>
      <c r="C19" s="519"/>
      <c r="D19" s="520"/>
      <c r="E19" s="48"/>
      <c r="F19" s="1"/>
      <c r="G19" s="1"/>
      <c r="H19" s="1"/>
      <c r="I19" s="39"/>
      <c r="J19" s="1"/>
      <c r="K19" s="1"/>
      <c r="L19" s="1"/>
      <c r="M19" s="1"/>
      <c r="N19" s="43"/>
    </row>
    <row r="20" spans="1:14" x14ac:dyDescent="0.25">
      <c r="A20" s="8"/>
      <c r="B20" s="1"/>
      <c r="C20" s="1"/>
      <c r="D20" s="1"/>
      <c r="E20" s="1"/>
      <c r="F20" s="1"/>
      <c r="G20" s="1"/>
      <c r="H20" s="1"/>
      <c r="I20" s="33"/>
      <c r="J20" s="1"/>
      <c r="K20" s="1"/>
      <c r="L20" s="1"/>
      <c r="M20" s="1"/>
      <c r="N20" s="42"/>
    </row>
    <row r="21" spans="1:14" x14ac:dyDescent="0.25">
      <c r="A21" s="8"/>
      <c r="B21" s="1"/>
      <c r="C21" s="1"/>
      <c r="D21" s="1"/>
      <c r="E21" s="1"/>
      <c r="F21" s="1"/>
      <c r="G21" s="1"/>
      <c r="H21" s="37"/>
      <c r="I21" s="33"/>
      <c r="J21" s="1"/>
      <c r="K21" s="1"/>
      <c r="L21" s="1"/>
      <c r="M21" s="1"/>
      <c r="N21" s="42"/>
    </row>
    <row r="22" spans="1:14" x14ac:dyDescent="0.25">
      <c r="A22" s="7"/>
      <c r="B22" s="2"/>
      <c r="C22" s="2"/>
      <c r="D22" s="2"/>
      <c r="E22" s="2"/>
      <c r="F22" s="2"/>
      <c r="G22" s="2"/>
      <c r="H22" s="2"/>
      <c r="I22" s="31"/>
      <c r="J22" s="2"/>
      <c r="K22" s="2"/>
      <c r="L22" s="2"/>
      <c r="M22" s="2"/>
      <c r="N22" s="6"/>
    </row>
    <row r="23" spans="1:14" x14ac:dyDescent="0.25">
      <c r="A23" s="19"/>
      <c r="B23" s="18"/>
      <c r="C23" s="18"/>
      <c r="D23" s="18"/>
      <c r="E23" s="18"/>
      <c r="F23" s="18"/>
      <c r="G23" s="18"/>
      <c r="H23" s="18"/>
      <c r="I23" s="30"/>
      <c r="J23" s="18"/>
      <c r="K23" s="18"/>
      <c r="L23" s="18"/>
      <c r="M23" s="2"/>
      <c r="N23" s="27"/>
    </row>
    <row r="24" spans="1:14" x14ac:dyDescent="0.25">
      <c r="A24" s="12" t="s">
        <v>45</v>
      </c>
      <c r="B24" s="13"/>
      <c r="C24" s="13"/>
      <c r="D24" s="13"/>
      <c r="E24" s="13"/>
      <c r="F24" s="13"/>
      <c r="G24" s="13"/>
      <c r="H24" s="13"/>
      <c r="I24" s="51"/>
      <c r="J24" s="13"/>
      <c r="K24" s="13" t="s">
        <v>91</v>
      </c>
      <c r="L24" s="13"/>
      <c r="M24" s="13"/>
      <c r="N24" s="6"/>
    </row>
    <row r="25" spans="1:14" x14ac:dyDescent="0.25">
      <c r="A25" s="12"/>
      <c r="B25" s="13"/>
      <c r="C25" s="13"/>
      <c r="D25" s="13"/>
      <c r="E25" s="13"/>
      <c r="F25" s="13"/>
      <c r="G25" s="13"/>
      <c r="H25" s="13"/>
      <c r="I25" s="51"/>
      <c r="J25" s="13"/>
      <c r="K25" s="13"/>
      <c r="L25" s="13"/>
      <c r="M25" s="13"/>
      <c r="N25" s="6"/>
    </row>
    <row r="26" spans="1:14" x14ac:dyDescent="0.25">
      <c r="A26" s="12"/>
      <c r="B26" s="13"/>
      <c r="C26" s="13"/>
      <c r="D26" s="13"/>
      <c r="E26" s="13"/>
      <c r="F26" s="13"/>
      <c r="G26" s="13"/>
      <c r="H26" s="13"/>
      <c r="I26" s="51"/>
      <c r="J26" s="13"/>
      <c r="K26" s="13"/>
      <c r="L26" s="13"/>
      <c r="M26" s="13"/>
      <c r="N26" s="6"/>
    </row>
    <row r="27" spans="1:14" x14ac:dyDescent="0.25">
      <c r="A27" s="12"/>
      <c r="B27" s="13"/>
      <c r="C27" s="13"/>
      <c r="D27" s="13"/>
      <c r="E27" s="13"/>
      <c r="F27" s="13"/>
      <c r="G27" s="13"/>
      <c r="H27" s="13"/>
      <c r="I27" s="51"/>
      <c r="J27" s="13"/>
      <c r="K27" s="13"/>
      <c r="L27" s="13"/>
      <c r="M27" s="13"/>
      <c r="N27" s="6"/>
    </row>
    <row r="28" spans="1:14" x14ac:dyDescent="0.25">
      <c r="A28" s="17"/>
      <c r="B28" s="302" t="s">
        <v>92</v>
      </c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517"/>
    </row>
    <row r="29" spans="1:14" x14ac:dyDescent="0.25">
      <c r="A29" s="44"/>
      <c r="B29" s="45"/>
      <c r="C29" s="45"/>
      <c r="D29" s="45"/>
      <c r="E29" s="45"/>
      <c r="F29" s="45"/>
      <c r="G29" s="45"/>
      <c r="H29" s="210"/>
      <c r="I29" s="34"/>
      <c r="J29" s="15"/>
      <c r="K29" s="15"/>
      <c r="L29" s="15"/>
      <c r="M29" s="2"/>
      <c r="N29" s="16"/>
    </row>
    <row r="30" spans="1:14" ht="15.75" thickBot="1" x14ac:dyDescent="0.3">
      <c r="A30" s="9"/>
      <c r="B30" s="10"/>
      <c r="C30" s="10"/>
      <c r="D30" s="10"/>
      <c r="E30" s="10"/>
      <c r="F30" s="10"/>
      <c r="G30" s="10"/>
      <c r="H30" s="10"/>
      <c r="I30" s="35"/>
      <c r="J30" s="10"/>
      <c r="K30" s="10"/>
      <c r="L30" s="10"/>
      <c r="M30" s="10"/>
      <c r="N30" s="11"/>
    </row>
  </sheetData>
  <mergeCells count="16">
    <mergeCell ref="L9:L10"/>
    <mergeCell ref="M9:N9"/>
    <mergeCell ref="B28:N28"/>
    <mergeCell ref="A19:D19"/>
    <mergeCell ref="L1:N1"/>
    <mergeCell ref="A6:N6"/>
    <mergeCell ref="A9:A10"/>
    <mergeCell ref="B9:B10"/>
    <mergeCell ref="C9:C10"/>
    <mergeCell ref="D9:D10"/>
    <mergeCell ref="E9:E10"/>
    <mergeCell ref="F9:G9"/>
    <mergeCell ref="H9:I9"/>
    <mergeCell ref="J9:K9"/>
    <mergeCell ref="J4:M4"/>
    <mergeCell ref="L2:N2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workbookViewId="0">
      <selection activeCell="O21" sqref="O21"/>
    </sheetView>
  </sheetViews>
  <sheetFormatPr baseColWidth="10" defaultRowHeight="15" x14ac:dyDescent="0.25"/>
  <cols>
    <col min="1" max="1" width="9" customWidth="1"/>
    <col min="2" max="2" width="18.5703125" customWidth="1"/>
    <col min="3" max="3" width="9.28515625" customWidth="1"/>
    <col min="4" max="4" width="10" customWidth="1"/>
    <col min="5" max="5" width="8.42578125" customWidth="1"/>
    <col min="6" max="6" width="9.42578125" customWidth="1"/>
    <col min="7" max="7" width="14" customWidth="1"/>
    <col min="8" max="8" width="7.7109375" customWidth="1"/>
    <col min="9" max="9" width="10" customWidth="1"/>
    <col min="10" max="10" width="10.28515625" customWidth="1"/>
    <col min="11" max="11" width="22.85546875" customWidth="1"/>
  </cols>
  <sheetData>
    <row r="1" spans="1:11" x14ac:dyDescent="0.25">
      <c r="A1" s="21" t="s">
        <v>146</v>
      </c>
      <c r="B1" s="22"/>
      <c r="C1" s="22"/>
      <c r="D1" s="22"/>
      <c r="E1" s="22"/>
      <c r="F1" s="22"/>
      <c r="G1" s="29"/>
      <c r="H1" s="172"/>
      <c r="I1" s="172"/>
      <c r="J1" s="382" t="s">
        <v>35</v>
      </c>
      <c r="K1" s="383"/>
    </row>
    <row r="2" spans="1:11" x14ac:dyDescent="0.25">
      <c r="A2" s="19"/>
      <c r="B2" s="18"/>
      <c r="C2" s="18"/>
      <c r="D2" s="18"/>
      <c r="E2" s="18"/>
      <c r="F2" s="18"/>
      <c r="G2" s="30"/>
      <c r="H2" s="162"/>
      <c r="I2" s="162"/>
      <c r="J2" s="301" t="s">
        <v>53</v>
      </c>
      <c r="K2" s="317"/>
    </row>
    <row r="3" spans="1:11" x14ac:dyDescent="0.25">
      <c r="A3" s="19"/>
      <c r="B3" s="18"/>
      <c r="C3" s="18"/>
      <c r="D3" s="18"/>
      <c r="E3" s="18"/>
      <c r="F3" s="18"/>
      <c r="G3" s="30"/>
      <c r="H3" s="162"/>
      <c r="I3" s="162"/>
      <c r="J3" s="2"/>
      <c r="K3" s="6"/>
    </row>
    <row r="4" spans="1:11" x14ac:dyDescent="0.25">
      <c r="A4" s="68" t="s">
        <v>231</v>
      </c>
      <c r="B4" s="13"/>
      <c r="C4" s="13"/>
      <c r="D4" s="13"/>
      <c r="E4" s="18"/>
      <c r="F4" s="18"/>
      <c r="G4" s="30"/>
      <c r="H4" s="301" t="s">
        <v>232</v>
      </c>
      <c r="I4" s="301"/>
      <c r="J4" s="301"/>
      <c r="K4" s="487"/>
    </row>
    <row r="5" spans="1:11" x14ac:dyDescent="0.25">
      <c r="A5" s="7"/>
      <c r="B5" s="2"/>
      <c r="C5" s="2"/>
      <c r="D5" s="2"/>
      <c r="E5" s="2"/>
      <c r="F5" s="2"/>
      <c r="G5" s="31"/>
      <c r="H5" s="2"/>
      <c r="I5" s="2"/>
      <c r="J5" s="2"/>
      <c r="K5" s="6"/>
    </row>
    <row r="6" spans="1:11" ht="23.25" x14ac:dyDescent="0.25">
      <c r="A6" s="326" t="s">
        <v>177</v>
      </c>
      <c r="B6" s="327"/>
      <c r="C6" s="327"/>
      <c r="D6" s="327"/>
      <c r="E6" s="327"/>
      <c r="F6" s="327"/>
      <c r="G6" s="327"/>
      <c r="H6" s="327"/>
      <c r="I6" s="327"/>
      <c r="J6" s="327"/>
      <c r="K6" s="328"/>
    </row>
    <row r="7" spans="1:11" x14ac:dyDescent="0.25">
      <c r="A7" s="7"/>
      <c r="B7" s="2"/>
      <c r="C7" s="2"/>
      <c r="D7" s="2"/>
      <c r="E7" s="2"/>
      <c r="F7" s="2"/>
      <c r="G7" s="31"/>
      <c r="H7" s="2"/>
      <c r="I7" s="2"/>
      <c r="J7" s="2"/>
      <c r="K7" s="6"/>
    </row>
    <row r="8" spans="1:11" x14ac:dyDescent="0.25">
      <c r="A8" s="521" t="s">
        <v>46</v>
      </c>
      <c r="B8" s="515" t="s">
        <v>50</v>
      </c>
      <c r="C8" s="515" t="s">
        <v>47</v>
      </c>
      <c r="D8" s="515"/>
      <c r="E8" s="534" t="s">
        <v>48</v>
      </c>
      <c r="F8" s="534"/>
      <c r="G8" s="534"/>
      <c r="H8" s="534"/>
      <c r="I8" s="534"/>
      <c r="J8" s="515" t="s">
        <v>49</v>
      </c>
      <c r="K8" s="516"/>
    </row>
    <row r="9" spans="1:11" ht="27.75" customHeight="1" x14ac:dyDescent="0.25">
      <c r="A9" s="521"/>
      <c r="B9" s="515" t="s">
        <v>10</v>
      </c>
      <c r="C9" s="515"/>
      <c r="D9" s="515"/>
      <c r="E9" s="515" t="s">
        <v>43</v>
      </c>
      <c r="F9" s="515"/>
      <c r="G9" s="515"/>
      <c r="H9" s="515" t="s">
        <v>30</v>
      </c>
      <c r="I9" s="515"/>
      <c r="J9" s="515"/>
      <c r="K9" s="516"/>
    </row>
    <row r="10" spans="1:11" x14ac:dyDescent="0.25">
      <c r="A10" s="521"/>
      <c r="B10" s="515"/>
      <c r="C10" s="164" t="s">
        <v>37</v>
      </c>
      <c r="D10" s="164" t="s">
        <v>21</v>
      </c>
      <c r="E10" s="164" t="s">
        <v>37</v>
      </c>
      <c r="F10" s="32" t="s">
        <v>36</v>
      </c>
      <c r="G10" s="164" t="s">
        <v>21</v>
      </c>
      <c r="H10" s="164" t="s">
        <v>37</v>
      </c>
      <c r="I10" s="164" t="s">
        <v>21</v>
      </c>
      <c r="J10" s="164" t="s">
        <v>37</v>
      </c>
      <c r="K10" s="28" t="s">
        <v>21</v>
      </c>
    </row>
    <row r="11" spans="1:11" x14ac:dyDescent="0.25">
      <c r="A11" s="528" t="s">
        <v>233</v>
      </c>
      <c r="B11" s="529"/>
      <c r="C11" s="529"/>
      <c r="D11" s="529"/>
      <c r="E11" s="529"/>
      <c r="F11" s="529"/>
      <c r="G11" s="529"/>
      <c r="H11" s="529"/>
      <c r="I11" s="529"/>
      <c r="J11" s="529"/>
      <c r="K11" s="530"/>
    </row>
    <row r="12" spans="1:11" x14ac:dyDescent="0.25">
      <c r="A12" s="26"/>
      <c r="B12" s="24"/>
      <c r="C12" s="24"/>
      <c r="D12" s="24"/>
      <c r="E12" s="23"/>
      <c r="F12" s="23"/>
      <c r="G12" s="40"/>
      <c r="H12" s="23"/>
      <c r="I12" s="23"/>
      <c r="J12" s="23"/>
      <c r="K12" s="41"/>
    </row>
    <row r="13" spans="1:11" x14ac:dyDescent="0.25">
      <c r="A13" s="8"/>
      <c r="B13" s="1"/>
      <c r="C13" s="1"/>
      <c r="D13" s="1"/>
      <c r="E13" s="1"/>
      <c r="F13" s="1"/>
      <c r="G13" s="33"/>
      <c r="H13" s="1"/>
      <c r="I13" s="1"/>
      <c r="J13" s="1"/>
      <c r="K13" s="42"/>
    </row>
    <row r="14" spans="1:11" ht="12" customHeight="1" x14ac:dyDescent="0.25">
      <c r="A14" s="49"/>
      <c r="B14" s="124"/>
      <c r="C14" s="47"/>
      <c r="D14" s="47"/>
      <c r="E14" s="1"/>
      <c r="F14" s="1"/>
      <c r="G14" s="33"/>
      <c r="H14" s="1"/>
      <c r="I14" s="1"/>
      <c r="J14" s="1"/>
      <c r="K14" s="42"/>
    </row>
    <row r="15" spans="1:11" ht="15.75" customHeight="1" x14ac:dyDescent="0.25">
      <c r="A15" s="531" t="s">
        <v>51</v>
      </c>
      <c r="B15" s="532"/>
      <c r="C15" s="532"/>
      <c r="D15" s="532"/>
      <c r="E15" s="532"/>
      <c r="F15" s="532"/>
      <c r="G15" s="532"/>
      <c r="H15" s="532"/>
      <c r="I15" s="532"/>
      <c r="J15" s="532"/>
      <c r="K15" s="533"/>
    </row>
    <row r="16" spans="1:11" x14ac:dyDescent="0.25">
      <c r="A16" s="50"/>
      <c r="B16" s="48"/>
      <c r="C16" s="48"/>
      <c r="D16" s="48"/>
      <c r="E16" s="1"/>
      <c r="F16" s="1"/>
      <c r="G16" s="39"/>
      <c r="H16" s="1"/>
      <c r="I16" s="1"/>
      <c r="J16" s="1"/>
      <c r="K16" s="43"/>
    </row>
    <row r="17" spans="1:11" x14ac:dyDescent="0.25">
      <c r="A17" s="8"/>
      <c r="B17" s="47"/>
      <c r="C17" s="1"/>
      <c r="D17" s="1"/>
      <c r="E17" s="1"/>
      <c r="F17" s="1"/>
      <c r="G17" s="33"/>
      <c r="H17" s="1"/>
      <c r="I17" s="1"/>
      <c r="J17" s="1"/>
      <c r="K17" s="42"/>
    </row>
    <row r="18" spans="1:11" x14ac:dyDescent="0.25">
      <c r="A18" s="8"/>
      <c r="B18" s="47"/>
      <c r="C18" s="1"/>
      <c r="D18" s="1"/>
      <c r="E18" s="37"/>
      <c r="F18" s="1"/>
      <c r="G18" s="33"/>
      <c r="H18" s="1"/>
      <c r="I18" s="1"/>
      <c r="J18" s="1"/>
      <c r="K18" s="42"/>
    </row>
    <row r="19" spans="1:11" x14ac:dyDescent="0.25">
      <c r="A19" s="8"/>
      <c r="B19" s="47"/>
      <c r="C19" s="1"/>
      <c r="D19" s="1"/>
      <c r="E19" s="37"/>
      <c r="F19" s="1"/>
      <c r="G19" s="33"/>
      <c r="H19" s="1"/>
      <c r="I19" s="1"/>
      <c r="J19" s="1"/>
      <c r="K19" s="42"/>
    </row>
    <row r="20" spans="1:11" x14ac:dyDescent="0.25">
      <c r="A20" s="8"/>
      <c r="B20" s="47"/>
      <c r="C20" s="1"/>
      <c r="D20" s="1"/>
      <c r="E20" s="37"/>
      <c r="F20" s="1"/>
      <c r="G20" s="33"/>
      <c r="H20" s="1"/>
      <c r="I20" s="1"/>
      <c r="J20" s="1"/>
      <c r="K20" s="42"/>
    </row>
    <row r="21" spans="1:11" x14ac:dyDescent="0.25">
      <c r="A21" s="8"/>
      <c r="B21" s="47"/>
      <c r="C21" s="1"/>
      <c r="D21" s="1"/>
      <c r="E21" s="37"/>
      <c r="F21" s="1"/>
      <c r="G21" s="33"/>
      <c r="H21" s="1"/>
      <c r="I21" s="1"/>
      <c r="J21" s="1"/>
      <c r="K21" s="42"/>
    </row>
    <row r="22" spans="1:11" x14ac:dyDescent="0.25">
      <c r="A22" s="8"/>
      <c r="B22" s="47"/>
      <c r="C22" s="1"/>
      <c r="D22" s="1"/>
      <c r="E22" s="37"/>
      <c r="F22" s="1"/>
      <c r="G22" s="33"/>
      <c r="H22" s="1"/>
      <c r="I22" s="1"/>
      <c r="J22" s="1"/>
      <c r="K22" s="42"/>
    </row>
    <row r="23" spans="1:11" x14ac:dyDescent="0.25">
      <c r="A23" s="8"/>
      <c r="B23" s="47"/>
      <c r="C23" s="1"/>
      <c r="D23" s="1"/>
      <c r="E23" s="37"/>
      <c r="F23" s="1"/>
      <c r="G23" s="33"/>
      <c r="H23" s="1"/>
      <c r="I23" s="1"/>
      <c r="J23" s="1"/>
      <c r="K23" s="42"/>
    </row>
    <row r="24" spans="1:11" x14ac:dyDescent="0.25">
      <c r="A24" s="522" t="s">
        <v>52</v>
      </c>
      <c r="B24" s="523"/>
      <c r="C24" s="524"/>
      <c r="D24" s="520"/>
      <c r="E24" s="53"/>
      <c r="F24" s="54"/>
      <c r="G24" s="55">
        <f>G12+G16</f>
        <v>0</v>
      </c>
      <c r="H24" s="524"/>
      <c r="I24" s="520"/>
      <c r="J24" s="56"/>
      <c r="K24" s="57"/>
    </row>
    <row r="25" spans="1:11" x14ac:dyDescent="0.25">
      <c r="A25" s="19"/>
      <c r="B25" s="18"/>
      <c r="C25" s="18"/>
      <c r="D25" s="18"/>
      <c r="E25" s="18"/>
      <c r="F25" s="18"/>
      <c r="G25" s="30"/>
      <c r="H25" s="18"/>
      <c r="I25" s="18"/>
      <c r="J25" s="2"/>
      <c r="K25" s="27"/>
    </row>
    <row r="26" spans="1:11" x14ac:dyDescent="0.25">
      <c r="A26" s="12" t="s">
        <v>45</v>
      </c>
      <c r="B26" s="13"/>
      <c r="C26" s="13"/>
      <c r="D26" s="13"/>
      <c r="E26" s="13"/>
      <c r="F26" s="13"/>
      <c r="G26" s="51"/>
      <c r="H26" s="13"/>
      <c r="I26" s="13" t="s">
        <v>91</v>
      </c>
      <c r="J26" s="13"/>
      <c r="K26" s="14"/>
    </row>
    <row r="27" spans="1:11" x14ac:dyDescent="0.25">
      <c r="A27" s="12"/>
      <c r="B27" s="13"/>
      <c r="C27" s="13"/>
      <c r="D27" s="13"/>
      <c r="E27" s="13"/>
      <c r="F27" s="13"/>
      <c r="G27" s="51"/>
      <c r="H27" s="13"/>
      <c r="I27" s="13"/>
      <c r="J27" s="13"/>
      <c r="K27" s="14"/>
    </row>
    <row r="28" spans="1:11" x14ac:dyDescent="0.25">
      <c r="A28" s="12"/>
      <c r="B28" s="13"/>
      <c r="C28" s="13"/>
      <c r="D28" s="13"/>
      <c r="E28" s="13"/>
      <c r="F28" s="13"/>
      <c r="G28" s="51"/>
      <c r="H28" s="13"/>
      <c r="I28" s="13"/>
      <c r="J28" s="13"/>
      <c r="K28" s="14"/>
    </row>
    <row r="29" spans="1:11" x14ac:dyDescent="0.25">
      <c r="A29" s="525" t="s">
        <v>90</v>
      </c>
      <c r="B29" s="526"/>
      <c r="C29" s="526"/>
      <c r="D29" s="526"/>
      <c r="E29" s="526"/>
      <c r="F29" s="526"/>
      <c r="G29" s="526"/>
      <c r="H29" s="526"/>
      <c r="I29" s="526"/>
      <c r="J29" s="526"/>
      <c r="K29" s="527"/>
    </row>
    <row r="30" spans="1:11" x14ac:dyDescent="0.25">
      <c r="A30" s="44"/>
      <c r="B30" s="45"/>
      <c r="C30" s="45"/>
      <c r="D30" s="45"/>
      <c r="E30" s="45"/>
      <c r="F30" s="163"/>
      <c r="G30" s="34"/>
      <c r="H30" s="15"/>
      <c r="I30" s="15"/>
      <c r="J30" s="2"/>
      <c r="K30" s="16"/>
    </row>
    <row r="31" spans="1:11" ht="15.75" thickBot="1" x14ac:dyDescent="0.3">
      <c r="A31" s="9"/>
      <c r="B31" s="10"/>
      <c r="C31" s="10"/>
      <c r="D31" s="10"/>
      <c r="E31" s="10"/>
      <c r="F31" s="10"/>
      <c r="G31" s="35"/>
      <c r="H31" s="10"/>
      <c r="I31" s="10"/>
      <c r="J31" s="10"/>
      <c r="K31" s="11"/>
    </row>
    <row r="32" spans="1:11" x14ac:dyDescent="0.25">
      <c r="K32">
        <v>2</v>
      </c>
    </row>
  </sheetData>
  <mergeCells count="17">
    <mergeCell ref="J1:K1"/>
    <mergeCell ref="A6:K6"/>
    <mergeCell ref="A8:A10"/>
    <mergeCell ref="B8:B10"/>
    <mergeCell ref="C8:D9"/>
    <mergeCell ref="E8:I8"/>
    <mergeCell ref="J8:K9"/>
    <mergeCell ref="E9:G9"/>
    <mergeCell ref="H9:I9"/>
    <mergeCell ref="H4:K4"/>
    <mergeCell ref="A24:B24"/>
    <mergeCell ref="C24:D24"/>
    <mergeCell ref="H24:I24"/>
    <mergeCell ref="J2:K2"/>
    <mergeCell ref="A29:K29"/>
    <mergeCell ref="A11:K11"/>
    <mergeCell ref="A15:K15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"/>
  <sheetViews>
    <sheetView workbookViewId="0">
      <selection activeCell="M18" sqref="M18"/>
    </sheetView>
  </sheetViews>
  <sheetFormatPr baseColWidth="10" defaultRowHeight="15" x14ac:dyDescent="0.25"/>
  <cols>
    <col min="1" max="1" width="9.42578125" customWidth="1"/>
    <col min="2" max="2" width="8.5703125" customWidth="1"/>
    <col min="3" max="3" width="18" customWidth="1"/>
    <col min="4" max="4" width="18.85546875" customWidth="1"/>
    <col min="5" max="5" width="19.5703125" customWidth="1"/>
    <col min="6" max="6" width="9.140625" customWidth="1"/>
    <col min="7" max="7" width="9" customWidth="1"/>
    <col min="8" max="8" width="11.140625" customWidth="1"/>
    <col min="9" max="9" width="13.140625" customWidth="1"/>
    <col min="10" max="10" width="0.28515625" customWidth="1"/>
    <col min="11" max="11" width="11.85546875" customWidth="1"/>
  </cols>
  <sheetData>
    <row r="1" spans="1:11" x14ac:dyDescent="0.25">
      <c r="A1" s="21" t="s">
        <v>146</v>
      </c>
      <c r="B1" s="22"/>
      <c r="C1" s="22"/>
      <c r="D1" s="139"/>
      <c r="E1" s="140"/>
      <c r="F1" s="141"/>
      <c r="G1" s="141"/>
      <c r="H1" s="382" t="s">
        <v>35</v>
      </c>
      <c r="I1" s="382"/>
      <c r="J1" s="382"/>
      <c r="K1" s="383"/>
    </row>
    <row r="2" spans="1:11" x14ac:dyDescent="0.25">
      <c r="A2" s="143"/>
      <c r="B2" s="76"/>
      <c r="C2" s="76"/>
      <c r="D2" s="76"/>
      <c r="E2" s="77"/>
      <c r="F2" s="78"/>
      <c r="G2" s="78"/>
      <c r="H2" s="546" t="s">
        <v>53</v>
      </c>
      <c r="I2" s="546"/>
      <c r="J2" s="546"/>
      <c r="K2" s="547"/>
    </row>
    <row r="3" spans="1:11" x14ac:dyDescent="0.25">
      <c r="A3" s="143"/>
      <c r="B3" s="76"/>
      <c r="C3" s="76"/>
      <c r="D3" s="76"/>
      <c r="E3" s="77"/>
      <c r="F3" s="78"/>
      <c r="G3" s="78"/>
      <c r="H3" s="79"/>
      <c r="I3" s="79"/>
      <c r="J3" s="79"/>
      <c r="K3" s="147"/>
    </row>
    <row r="4" spans="1:11" x14ac:dyDescent="0.25">
      <c r="A4" s="12" t="s">
        <v>234</v>
      </c>
      <c r="B4" s="82"/>
      <c r="C4" s="82"/>
      <c r="D4" s="82"/>
      <c r="E4" s="77"/>
      <c r="F4" s="18"/>
      <c r="G4" s="18"/>
      <c r="H4" s="301" t="s">
        <v>235</v>
      </c>
      <c r="I4" s="301"/>
      <c r="J4" s="301"/>
      <c r="K4" s="317"/>
    </row>
    <row r="5" spans="1:11" x14ac:dyDescent="0.25">
      <c r="A5" s="144"/>
      <c r="B5" s="79"/>
      <c r="C5" s="79"/>
      <c r="D5" s="79"/>
      <c r="E5" s="84"/>
      <c r="F5" s="79"/>
      <c r="G5" s="79"/>
      <c r="H5" s="79"/>
      <c r="I5" s="79"/>
      <c r="J5" s="79"/>
      <c r="K5" s="147"/>
    </row>
    <row r="6" spans="1:11" ht="22.5" x14ac:dyDescent="0.25">
      <c r="A6" s="539" t="s">
        <v>145</v>
      </c>
      <c r="B6" s="540"/>
      <c r="C6" s="540"/>
      <c r="D6" s="540"/>
      <c r="E6" s="540"/>
      <c r="F6" s="540"/>
      <c r="G6" s="540"/>
      <c r="H6" s="540"/>
      <c r="I6" s="540"/>
      <c r="J6" s="540"/>
      <c r="K6" s="541"/>
    </row>
    <row r="7" spans="1:11" x14ac:dyDescent="0.25">
      <c r="A7" s="235"/>
      <c r="B7" s="79"/>
      <c r="C7" s="79"/>
      <c r="D7" s="79"/>
      <c r="E7" s="79"/>
      <c r="F7" s="79"/>
      <c r="G7" s="79"/>
      <c r="H7" s="79"/>
      <c r="I7" s="79"/>
      <c r="J7" s="79"/>
      <c r="K7" s="147"/>
    </row>
    <row r="8" spans="1:11" ht="15.75" thickBot="1" x14ac:dyDescent="0.3">
      <c r="A8" s="144"/>
      <c r="B8" s="79"/>
      <c r="C8" s="79"/>
      <c r="D8" s="79"/>
      <c r="E8" s="79"/>
      <c r="F8" s="79"/>
      <c r="G8" s="79"/>
      <c r="H8" s="79"/>
      <c r="I8" s="79"/>
      <c r="J8" s="79"/>
      <c r="K8" s="147"/>
    </row>
    <row r="9" spans="1:11" ht="16.5" customHeight="1" thickTop="1" thickBot="1" x14ac:dyDescent="0.3">
      <c r="A9" s="542" t="s">
        <v>26</v>
      </c>
      <c r="B9" s="543" t="s">
        <v>27</v>
      </c>
      <c r="C9" s="544" t="s">
        <v>72</v>
      </c>
      <c r="D9" s="544" t="s">
        <v>107</v>
      </c>
      <c r="E9" s="536" t="s">
        <v>54</v>
      </c>
      <c r="F9" s="543" t="s">
        <v>55</v>
      </c>
      <c r="G9" s="543"/>
      <c r="H9" s="545"/>
      <c r="I9" s="535" t="s">
        <v>14</v>
      </c>
      <c r="J9" s="536"/>
      <c r="K9" s="537" t="s">
        <v>144</v>
      </c>
    </row>
    <row r="10" spans="1:11" ht="16.5" thickTop="1" thickBot="1" x14ac:dyDescent="0.3">
      <c r="A10" s="542"/>
      <c r="B10" s="543"/>
      <c r="C10" s="544"/>
      <c r="D10" s="544"/>
      <c r="E10" s="536"/>
      <c r="F10" s="121" t="s">
        <v>56</v>
      </c>
      <c r="G10" s="121" t="s">
        <v>57</v>
      </c>
      <c r="H10" s="158" t="s">
        <v>58</v>
      </c>
      <c r="I10" s="535"/>
      <c r="J10" s="536"/>
      <c r="K10" s="538"/>
    </row>
    <row r="11" spans="1:11" ht="16.5" thickTop="1" thickBot="1" x14ac:dyDescent="0.3">
      <c r="A11" s="236"/>
      <c r="B11" s="120"/>
      <c r="C11" s="120"/>
      <c r="D11" s="120"/>
      <c r="E11" s="120"/>
      <c r="F11" s="120"/>
      <c r="G11" s="120"/>
      <c r="H11" s="159"/>
      <c r="I11" s="120"/>
      <c r="J11" s="160"/>
      <c r="K11" s="160"/>
    </row>
    <row r="12" spans="1:11" ht="16.5" thickTop="1" thickBot="1" x14ac:dyDescent="0.3">
      <c r="A12" s="236"/>
      <c r="B12" s="120"/>
      <c r="C12" s="120"/>
      <c r="D12" s="120"/>
      <c r="E12" s="120"/>
      <c r="F12" s="120"/>
      <c r="G12" s="120"/>
      <c r="H12" s="159"/>
      <c r="I12" s="120"/>
      <c r="J12" s="160"/>
      <c r="K12" s="160"/>
    </row>
    <row r="13" spans="1:11" ht="16.5" thickTop="1" thickBot="1" x14ac:dyDescent="0.3">
      <c r="A13" s="236"/>
      <c r="B13" s="120"/>
      <c r="C13" s="120"/>
      <c r="D13" s="120"/>
      <c r="E13" s="120"/>
      <c r="F13" s="120"/>
      <c r="G13" s="120"/>
      <c r="H13" s="159"/>
      <c r="I13" s="120"/>
      <c r="J13" s="160"/>
      <c r="K13" s="160"/>
    </row>
    <row r="14" spans="1:11" ht="16.5" thickTop="1" thickBot="1" x14ac:dyDescent="0.3">
      <c r="A14" s="236"/>
      <c r="B14" s="120"/>
      <c r="C14" s="120"/>
      <c r="D14" s="120"/>
      <c r="E14" s="120"/>
      <c r="F14" s="120"/>
      <c r="G14" s="120"/>
      <c r="H14" s="159"/>
      <c r="I14" s="120"/>
      <c r="J14" s="160"/>
      <c r="K14" s="160"/>
    </row>
    <row r="15" spans="1:11" ht="16.5" thickTop="1" thickBot="1" x14ac:dyDescent="0.3">
      <c r="A15" s="236"/>
      <c r="B15" s="120"/>
      <c r="C15" s="120"/>
      <c r="D15" s="120"/>
      <c r="E15" s="120"/>
      <c r="F15" s="120"/>
      <c r="G15" s="120"/>
      <c r="H15" s="159"/>
      <c r="I15" s="120"/>
      <c r="J15" s="160"/>
      <c r="K15" s="160"/>
    </row>
    <row r="16" spans="1:11" ht="16.5" thickTop="1" thickBot="1" x14ac:dyDescent="0.3">
      <c r="A16" s="236"/>
      <c r="B16" s="120"/>
      <c r="C16" s="120"/>
      <c r="D16" s="120"/>
      <c r="E16" s="120"/>
      <c r="F16" s="120"/>
      <c r="G16" s="120"/>
      <c r="H16" s="159"/>
      <c r="I16" s="120"/>
      <c r="J16" s="160"/>
      <c r="K16" s="160"/>
    </row>
    <row r="17" spans="1:11" ht="16.5" thickTop="1" thickBot="1" x14ac:dyDescent="0.3">
      <c r="A17" s="236"/>
      <c r="B17" s="120"/>
      <c r="C17" s="120"/>
      <c r="D17" s="120"/>
      <c r="E17" s="120"/>
      <c r="F17" s="120"/>
      <c r="G17" s="120"/>
      <c r="H17" s="159"/>
      <c r="I17" s="120"/>
      <c r="J17" s="160"/>
      <c r="K17" s="160"/>
    </row>
    <row r="18" spans="1:11" ht="16.5" thickTop="1" thickBot="1" x14ac:dyDescent="0.3">
      <c r="A18" s="236"/>
      <c r="B18" s="120"/>
      <c r="C18" s="120"/>
      <c r="D18" s="120"/>
      <c r="E18" s="120"/>
      <c r="F18" s="120"/>
      <c r="G18" s="120"/>
      <c r="H18" s="159"/>
      <c r="I18" s="120"/>
      <c r="J18" s="160"/>
      <c r="K18" s="160"/>
    </row>
    <row r="19" spans="1:11" ht="16.5" thickTop="1" thickBot="1" x14ac:dyDescent="0.3">
      <c r="A19" s="236"/>
      <c r="B19" s="120"/>
      <c r="C19" s="120"/>
      <c r="D19" s="120"/>
      <c r="E19" s="120"/>
      <c r="F19" s="120"/>
      <c r="G19" s="120"/>
      <c r="H19" s="159"/>
      <c r="I19" s="120"/>
      <c r="J19" s="160"/>
      <c r="K19" s="160"/>
    </row>
    <row r="20" spans="1:11" ht="16.5" thickTop="1" thickBot="1" x14ac:dyDescent="0.3">
      <c r="A20" s="236"/>
      <c r="B20" s="120"/>
      <c r="C20" s="120"/>
      <c r="D20" s="120"/>
      <c r="E20" s="120"/>
      <c r="F20" s="120"/>
      <c r="G20" s="120"/>
      <c r="H20" s="159"/>
      <c r="I20" s="120"/>
      <c r="J20" s="160"/>
      <c r="K20" s="160"/>
    </row>
    <row r="21" spans="1:11" ht="16.5" thickTop="1" thickBot="1" x14ac:dyDescent="0.3">
      <c r="A21" s="236"/>
      <c r="B21" s="120"/>
      <c r="C21" s="120"/>
      <c r="D21" s="120"/>
      <c r="E21" s="120"/>
      <c r="F21" s="120"/>
      <c r="G21" s="120"/>
      <c r="H21" s="159"/>
      <c r="I21" s="120"/>
      <c r="J21" s="161"/>
      <c r="K21" s="160"/>
    </row>
    <row r="22" spans="1:11" ht="15.75" thickTop="1" x14ac:dyDescent="0.25">
      <c r="A22" s="144"/>
      <c r="B22" s="79"/>
      <c r="C22" s="79"/>
      <c r="D22" s="79"/>
      <c r="E22" s="79"/>
      <c r="F22" s="79"/>
      <c r="G22" s="79"/>
      <c r="H22" s="79"/>
      <c r="I22" s="79"/>
      <c r="J22" s="79"/>
      <c r="K22" s="147"/>
    </row>
    <row r="23" spans="1:11" x14ac:dyDescent="0.25">
      <c r="A23" s="237"/>
      <c r="B23" s="82"/>
      <c r="C23" s="82"/>
      <c r="D23" s="82"/>
      <c r="E23" s="82"/>
      <c r="F23" s="82"/>
      <c r="G23" s="82"/>
      <c r="H23" s="82"/>
      <c r="I23" s="79"/>
      <c r="J23" s="79"/>
      <c r="K23" s="147"/>
    </row>
    <row r="24" spans="1:11" x14ac:dyDescent="0.25">
      <c r="A24" s="237"/>
      <c r="B24" s="82"/>
      <c r="C24" s="82"/>
      <c r="D24" s="82"/>
      <c r="E24" s="224" t="s">
        <v>237</v>
      </c>
      <c r="F24" s="76"/>
      <c r="G24" s="76"/>
      <c r="H24" s="2"/>
      <c r="I24" s="79"/>
      <c r="J24" s="79"/>
      <c r="K24" s="147"/>
    </row>
    <row r="25" spans="1:11" x14ac:dyDescent="0.25">
      <c r="A25" s="237"/>
      <c r="B25" s="82"/>
      <c r="C25" s="82"/>
      <c r="D25" s="82"/>
      <c r="E25" s="242"/>
      <c r="F25" s="76"/>
      <c r="G25" s="76"/>
      <c r="H25" s="2"/>
      <c r="I25" s="79"/>
      <c r="J25" s="79"/>
      <c r="K25" s="147"/>
    </row>
    <row r="26" spans="1:11" x14ac:dyDescent="0.25">
      <c r="A26" s="237"/>
      <c r="B26" s="82"/>
      <c r="C26" s="82"/>
      <c r="D26" s="82"/>
      <c r="E26" s="242"/>
      <c r="F26" s="76"/>
      <c r="G26" s="76"/>
      <c r="H26" s="2"/>
      <c r="I26" s="79"/>
      <c r="J26" s="79"/>
      <c r="K26" s="147"/>
    </row>
    <row r="27" spans="1:11" x14ac:dyDescent="0.25">
      <c r="A27" s="237"/>
      <c r="B27" s="82"/>
      <c r="C27" s="82"/>
      <c r="D27" s="82"/>
      <c r="E27" s="79"/>
      <c r="F27" s="82"/>
      <c r="G27" s="82"/>
      <c r="H27" s="82"/>
      <c r="I27" s="79"/>
      <c r="J27" s="79"/>
      <c r="K27" s="147"/>
    </row>
    <row r="28" spans="1:11" x14ac:dyDescent="0.25">
      <c r="A28" s="237"/>
      <c r="B28" s="82"/>
      <c r="C28" s="82"/>
      <c r="D28" s="82"/>
      <c r="E28" s="79"/>
      <c r="F28" s="82"/>
      <c r="G28" s="82"/>
      <c r="H28" s="82"/>
      <c r="I28" s="79"/>
      <c r="J28" s="79"/>
      <c r="K28" s="147"/>
    </row>
    <row r="29" spans="1:11" x14ac:dyDescent="0.25">
      <c r="A29" s="237"/>
      <c r="B29" s="82"/>
      <c r="C29" s="82"/>
      <c r="D29" s="82"/>
      <c r="E29" s="224" t="s">
        <v>236</v>
      </c>
      <c r="F29" s="76"/>
      <c r="G29" s="76"/>
      <c r="H29" s="82"/>
      <c r="I29" s="79"/>
      <c r="J29" s="79"/>
      <c r="K29" s="147"/>
    </row>
    <row r="30" spans="1:11" ht="15.75" thickBot="1" x14ac:dyDescent="0.3">
      <c r="A30" s="238"/>
      <c r="B30" s="239"/>
      <c r="C30" s="239"/>
      <c r="D30" s="239"/>
      <c r="E30" s="239"/>
      <c r="F30" s="239"/>
      <c r="G30" s="239"/>
      <c r="H30" s="239"/>
      <c r="I30" s="240"/>
      <c r="J30" s="240"/>
      <c r="K30" s="241"/>
    </row>
  </sheetData>
  <mergeCells count="13">
    <mergeCell ref="I9:I10"/>
    <mergeCell ref="J9:J10"/>
    <mergeCell ref="K9:K10"/>
    <mergeCell ref="H1:K1"/>
    <mergeCell ref="A6:K6"/>
    <mergeCell ref="A9:A10"/>
    <mergeCell ref="B9:B10"/>
    <mergeCell ref="C9:C10"/>
    <mergeCell ref="D9:D10"/>
    <mergeCell ref="E9:E10"/>
    <mergeCell ref="F9:H9"/>
    <mergeCell ref="H4:K4"/>
    <mergeCell ref="H2:K2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6"/>
  <sheetViews>
    <sheetView topLeftCell="A4" workbookViewId="0">
      <selection activeCell="P7" sqref="P7"/>
    </sheetView>
  </sheetViews>
  <sheetFormatPr baseColWidth="10" defaultRowHeight="15" x14ac:dyDescent="0.25"/>
  <cols>
    <col min="1" max="1" width="14.28515625" customWidth="1"/>
    <col min="2" max="2" width="15.42578125" customWidth="1"/>
    <col min="3" max="3" width="10.7109375" customWidth="1"/>
    <col min="4" max="4" width="11.85546875" customWidth="1"/>
    <col min="5" max="5" width="12.28515625" customWidth="1"/>
    <col min="6" max="6" width="10.42578125" customWidth="1"/>
    <col min="7" max="7" width="14.140625" customWidth="1"/>
    <col min="8" max="8" width="7.85546875" customWidth="1"/>
    <col min="9" max="9" width="8.7109375" customWidth="1"/>
    <col min="10" max="10" width="7.7109375" customWidth="1"/>
    <col min="11" max="11" width="7.5703125" customWidth="1"/>
    <col min="12" max="12" width="9.140625" customWidth="1"/>
  </cols>
  <sheetData>
    <row r="1" spans="1:16" ht="15.75" thickTop="1" x14ac:dyDescent="0.25">
      <c r="A1" s="62" t="s">
        <v>146</v>
      </c>
      <c r="B1" s="63"/>
      <c r="C1" s="63"/>
      <c r="D1" s="64"/>
      <c r="E1" s="118"/>
      <c r="F1" s="118"/>
      <c r="G1" s="118"/>
      <c r="H1" s="485" t="s">
        <v>35</v>
      </c>
      <c r="I1" s="485"/>
      <c r="J1" s="485"/>
      <c r="K1" s="485"/>
      <c r="L1" s="486"/>
    </row>
    <row r="2" spans="1:16" x14ac:dyDescent="0.25">
      <c r="A2" s="66"/>
      <c r="B2" s="18"/>
      <c r="C2" s="18"/>
      <c r="D2" s="30"/>
      <c r="E2" s="117"/>
      <c r="F2" s="117"/>
      <c r="G2" s="117"/>
      <c r="H2" s="2"/>
      <c r="I2" s="291" t="s">
        <v>53</v>
      </c>
      <c r="J2" s="291"/>
      <c r="K2" s="291"/>
      <c r="L2" s="67"/>
    </row>
    <row r="3" spans="1:16" x14ac:dyDescent="0.25">
      <c r="A3" s="66"/>
      <c r="B3" s="18"/>
      <c r="C3" s="18"/>
      <c r="D3" s="30"/>
      <c r="E3" s="117"/>
      <c r="F3" s="117"/>
      <c r="G3" s="117"/>
      <c r="H3" s="2"/>
      <c r="I3" s="2"/>
      <c r="J3" s="2"/>
      <c r="K3" s="2"/>
      <c r="L3" s="67"/>
    </row>
    <row r="4" spans="1:16" x14ac:dyDescent="0.25">
      <c r="A4" s="68" t="s">
        <v>239</v>
      </c>
      <c r="B4" s="13"/>
      <c r="C4" s="13"/>
      <c r="D4" s="30"/>
      <c r="E4" s="117"/>
      <c r="F4" s="117"/>
      <c r="G4" s="117"/>
      <c r="H4" s="301" t="s">
        <v>240</v>
      </c>
      <c r="I4" s="301"/>
      <c r="J4" s="301"/>
      <c r="K4" s="301"/>
      <c r="L4" s="67"/>
    </row>
    <row r="5" spans="1:16" x14ac:dyDescent="0.25">
      <c r="A5" s="69"/>
      <c r="B5" s="2"/>
      <c r="C5" s="2"/>
      <c r="D5" s="31"/>
      <c r="E5" s="2"/>
      <c r="F5" s="2"/>
      <c r="G5" s="2"/>
      <c r="H5" s="2"/>
      <c r="I5" s="2"/>
      <c r="J5" s="2"/>
      <c r="K5" s="2"/>
      <c r="L5" s="67"/>
    </row>
    <row r="6" spans="1:16" ht="23.25" x14ac:dyDescent="0.25">
      <c r="A6" s="491" t="s">
        <v>180</v>
      </c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492"/>
    </row>
    <row r="7" spans="1:16" ht="18.75" x14ac:dyDescent="0.3">
      <c r="A7" s="555"/>
      <c r="B7" s="556"/>
      <c r="C7" s="556"/>
      <c r="D7" s="556"/>
      <c r="E7" s="556"/>
      <c r="F7" s="556"/>
      <c r="G7" s="556"/>
      <c r="H7" s="556"/>
      <c r="I7" s="556"/>
      <c r="J7" s="556"/>
      <c r="K7" s="556"/>
      <c r="L7" s="557"/>
      <c r="P7" t="s">
        <v>179</v>
      </c>
    </row>
    <row r="8" spans="1:16" ht="19.5" thickBot="1" x14ac:dyDescent="0.35">
      <c r="A8" s="91"/>
      <c r="B8" s="13"/>
      <c r="C8" s="13"/>
      <c r="D8" s="51"/>
      <c r="E8" s="2"/>
      <c r="F8" s="2"/>
      <c r="G8" s="2"/>
      <c r="H8" s="2"/>
      <c r="I8" s="2"/>
      <c r="J8" s="2"/>
      <c r="K8" s="2"/>
      <c r="L8" s="67"/>
    </row>
    <row r="9" spans="1:16" ht="32.25" customHeight="1" thickTop="1" thickBot="1" x14ac:dyDescent="0.3">
      <c r="A9" s="558" t="s">
        <v>238</v>
      </c>
      <c r="B9" s="559" t="s">
        <v>54</v>
      </c>
      <c r="C9" s="552" t="s">
        <v>96</v>
      </c>
      <c r="D9" s="553"/>
      <c r="E9" s="553"/>
      <c r="F9" s="554"/>
      <c r="G9" s="560" t="s">
        <v>101</v>
      </c>
      <c r="H9" s="552" t="s">
        <v>102</v>
      </c>
      <c r="I9" s="553"/>
      <c r="J9" s="553"/>
      <c r="K9" s="553"/>
      <c r="L9" s="554"/>
    </row>
    <row r="10" spans="1:16" ht="60" customHeight="1" thickTop="1" thickBot="1" x14ac:dyDescent="0.3">
      <c r="A10" s="558"/>
      <c r="B10" s="559"/>
      <c r="C10" s="123" t="s">
        <v>97</v>
      </c>
      <c r="D10" s="123" t="s">
        <v>98</v>
      </c>
      <c r="E10" s="123" t="s">
        <v>99</v>
      </c>
      <c r="F10" s="123" t="s">
        <v>100</v>
      </c>
      <c r="G10" s="561"/>
      <c r="H10" s="123" t="s">
        <v>103</v>
      </c>
      <c r="I10" s="123" t="s">
        <v>104</v>
      </c>
      <c r="J10" s="123" t="s">
        <v>36</v>
      </c>
      <c r="K10" s="166" t="s">
        <v>105</v>
      </c>
      <c r="L10" s="166" t="s">
        <v>106</v>
      </c>
    </row>
    <row r="11" spans="1:16" ht="16.5" thickTop="1" thickBot="1" x14ac:dyDescent="0.3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</row>
    <row r="12" spans="1:16" ht="16.5" thickTop="1" thickBot="1" x14ac:dyDescent="0.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6" ht="16.5" thickTop="1" thickBo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</row>
    <row r="14" spans="1:16" ht="16.5" thickTop="1" thickBot="1" x14ac:dyDescent="0.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</row>
    <row r="15" spans="1:16" ht="16.5" thickTop="1" thickBot="1" x14ac:dyDescent="0.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6" ht="16.5" thickTop="1" thickBot="1" x14ac:dyDescent="0.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16.5" thickTop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 ht="15.75" thickTop="1" x14ac:dyDescent="0.25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67"/>
    </row>
    <row r="19" spans="1:12" ht="15" customHeight="1" x14ac:dyDescent="0.3">
      <c r="A19" s="548" t="s">
        <v>85</v>
      </c>
      <c r="B19" s="549"/>
      <c r="C19" s="549"/>
      <c r="D19" s="549"/>
      <c r="E19" s="549"/>
      <c r="F19" s="549"/>
      <c r="G19" s="549"/>
      <c r="H19" s="549"/>
      <c r="I19" s="549"/>
      <c r="J19" s="549"/>
      <c r="K19" s="549"/>
      <c r="L19" s="550"/>
    </row>
    <row r="20" spans="1:12" ht="15.75" x14ac:dyDescent="0.25">
      <c r="A20" s="69"/>
      <c r="B20" s="2"/>
      <c r="C20" s="2"/>
      <c r="D20" s="2"/>
      <c r="E20" s="2"/>
      <c r="F20" s="90"/>
      <c r="G20" s="90"/>
      <c r="H20" s="90"/>
      <c r="I20" s="90"/>
      <c r="J20" s="90"/>
      <c r="K20" s="90"/>
      <c r="L20" s="67"/>
    </row>
    <row r="21" spans="1:12" ht="15.75" x14ac:dyDescent="0.25">
      <c r="A21" s="69"/>
      <c r="B21" s="2"/>
      <c r="C21" s="2"/>
      <c r="D21" s="2"/>
      <c r="E21" s="2"/>
      <c r="F21" s="90"/>
      <c r="G21" s="90"/>
      <c r="H21" s="90"/>
      <c r="I21" s="90"/>
      <c r="J21" s="90"/>
      <c r="K21" s="90"/>
      <c r="L21" s="67"/>
    </row>
    <row r="22" spans="1:12" ht="15.75" customHeight="1" x14ac:dyDescent="0.25">
      <c r="A22" s="551" t="s">
        <v>86</v>
      </c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511"/>
    </row>
    <row r="23" spans="1:12" ht="15.75" x14ac:dyDescent="0.25">
      <c r="A23" s="69"/>
      <c r="B23" s="2"/>
      <c r="C23" s="2"/>
      <c r="D23" s="2"/>
      <c r="E23" s="2"/>
      <c r="F23" s="90"/>
      <c r="G23" s="90"/>
      <c r="H23" s="90"/>
      <c r="I23" s="90"/>
      <c r="J23" s="90"/>
      <c r="K23" s="90"/>
      <c r="L23" s="67"/>
    </row>
    <row r="24" spans="1:12" ht="15.75" x14ac:dyDescent="0.25">
      <c r="A24" s="69"/>
      <c r="B24" s="2"/>
      <c r="C24" s="2"/>
      <c r="D24" s="2"/>
      <c r="E24" s="2"/>
      <c r="F24" s="90"/>
      <c r="G24" s="90"/>
      <c r="H24" s="90"/>
      <c r="I24" s="90"/>
      <c r="J24" s="90"/>
      <c r="K24" s="90"/>
      <c r="L24" s="67"/>
    </row>
    <row r="25" spans="1:12" ht="15.75" thickBot="1" x14ac:dyDescent="0.3">
      <c r="A25" s="92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ht="15.75" thickTop="1" x14ac:dyDescent="0.25"/>
  </sheetData>
  <mergeCells count="12">
    <mergeCell ref="A19:L19"/>
    <mergeCell ref="A22:L22"/>
    <mergeCell ref="C9:F9"/>
    <mergeCell ref="H9:L9"/>
    <mergeCell ref="H1:L1"/>
    <mergeCell ref="A6:L6"/>
    <mergeCell ref="A7:L7"/>
    <mergeCell ref="A9:A10"/>
    <mergeCell ref="B9:B10"/>
    <mergeCell ref="G9:G10"/>
    <mergeCell ref="H4:K4"/>
    <mergeCell ref="I2:K2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8"/>
  <sheetViews>
    <sheetView workbookViewId="0">
      <selection activeCell="Q12" sqref="Q12"/>
    </sheetView>
  </sheetViews>
  <sheetFormatPr baseColWidth="10" defaultRowHeight="15" x14ac:dyDescent="0.25"/>
  <cols>
    <col min="1" max="1" width="12.5703125" customWidth="1"/>
    <col min="2" max="2" width="10.42578125" customWidth="1"/>
    <col min="3" max="3" width="9.28515625" customWidth="1"/>
    <col min="4" max="5" width="8.42578125" customWidth="1"/>
    <col min="6" max="6" width="12.28515625" customWidth="1"/>
    <col min="7" max="7" width="12" customWidth="1"/>
    <col min="8" max="8" width="10.140625" customWidth="1"/>
    <col min="9" max="9" width="11.5703125" customWidth="1"/>
    <col min="10" max="10" width="11.42578125" customWidth="1"/>
    <col min="11" max="11" width="11.5703125" customWidth="1"/>
    <col min="12" max="12" width="12.5703125" customWidth="1"/>
  </cols>
  <sheetData>
    <row r="1" spans="1:12" ht="15.75" thickTop="1" x14ac:dyDescent="0.25">
      <c r="A1" s="62" t="s">
        <v>146</v>
      </c>
      <c r="B1" s="63"/>
      <c r="C1" s="63"/>
      <c r="D1" s="64"/>
      <c r="E1" s="65"/>
      <c r="F1" s="65"/>
      <c r="G1" s="114"/>
      <c r="H1" s="257"/>
      <c r="I1" s="257"/>
      <c r="J1" s="485" t="s">
        <v>35</v>
      </c>
      <c r="K1" s="485"/>
      <c r="L1" s="486"/>
    </row>
    <row r="2" spans="1:12" x14ac:dyDescent="0.25">
      <c r="A2" s="66"/>
      <c r="B2" s="18"/>
      <c r="C2" s="18"/>
      <c r="D2" s="30"/>
      <c r="E2" s="4"/>
      <c r="F2" s="4"/>
      <c r="G2" s="108"/>
      <c r="H2" s="256"/>
      <c r="I2" s="256"/>
      <c r="J2" s="291" t="s">
        <v>53</v>
      </c>
      <c r="K2" s="291"/>
      <c r="L2" s="511"/>
    </row>
    <row r="3" spans="1:12" x14ac:dyDescent="0.25">
      <c r="A3" s="66"/>
      <c r="B3" s="18"/>
      <c r="C3" s="18"/>
      <c r="D3" s="30"/>
      <c r="E3" s="4"/>
      <c r="F3" s="4"/>
      <c r="G3" s="108"/>
      <c r="H3" s="256"/>
      <c r="I3" s="256"/>
      <c r="J3" s="2"/>
      <c r="K3" s="2"/>
      <c r="L3" s="67"/>
    </row>
    <row r="4" spans="1:12" x14ac:dyDescent="0.25">
      <c r="A4" s="68" t="s">
        <v>241</v>
      </c>
      <c r="B4" s="13"/>
      <c r="C4" s="13"/>
      <c r="D4" s="30"/>
      <c r="E4" s="4"/>
      <c r="F4" s="4"/>
      <c r="G4" s="301" t="s">
        <v>229</v>
      </c>
      <c r="H4" s="301"/>
      <c r="I4" s="301"/>
      <c r="J4" s="301"/>
      <c r="K4" s="301"/>
      <c r="L4" s="487"/>
    </row>
    <row r="5" spans="1:12" x14ac:dyDescent="0.25">
      <c r="A5" s="69"/>
      <c r="B5" s="2"/>
      <c r="C5" s="2"/>
      <c r="D5" s="31"/>
      <c r="E5" s="2"/>
      <c r="F5" s="2"/>
      <c r="G5" s="2"/>
      <c r="H5" s="2"/>
      <c r="I5" s="2"/>
      <c r="J5" s="2"/>
      <c r="K5" s="2"/>
      <c r="L5" s="67"/>
    </row>
    <row r="6" spans="1:12" ht="23.25" x14ac:dyDescent="0.25">
      <c r="A6" s="491" t="s">
        <v>270</v>
      </c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492"/>
    </row>
    <row r="7" spans="1:12" ht="18.75" x14ac:dyDescent="0.3">
      <c r="A7" s="555"/>
      <c r="B7" s="556"/>
      <c r="C7" s="556"/>
      <c r="D7" s="556"/>
      <c r="E7" s="556"/>
      <c r="F7" s="556"/>
      <c r="G7" s="556"/>
      <c r="H7" s="556"/>
      <c r="I7" s="556"/>
      <c r="J7" s="556"/>
      <c r="K7" s="556"/>
      <c r="L7" s="557"/>
    </row>
    <row r="8" spans="1:12" ht="19.5" thickBot="1" x14ac:dyDescent="0.35">
      <c r="A8" s="91"/>
      <c r="B8" s="13"/>
      <c r="C8" s="13"/>
      <c r="D8" s="51"/>
      <c r="E8" s="2"/>
      <c r="F8" s="2"/>
      <c r="G8" s="2"/>
      <c r="H8" s="2"/>
      <c r="I8" s="2"/>
      <c r="J8" s="2"/>
      <c r="K8" s="2"/>
      <c r="L8" s="67"/>
    </row>
    <row r="9" spans="1:12" ht="16.5" thickTop="1" thickBot="1" x14ac:dyDescent="0.3">
      <c r="A9" s="558" t="s">
        <v>238</v>
      </c>
      <c r="B9" s="562" t="s">
        <v>10</v>
      </c>
      <c r="C9" s="558" t="s">
        <v>79</v>
      </c>
      <c r="D9" s="558" t="s">
        <v>80</v>
      </c>
      <c r="E9" s="558" t="s">
        <v>81</v>
      </c>
      <c r="F9" s="558" t="s">
        <v>82</v>
      </c>
      <c r="G9" s="560" t="s">
        <v>89</v>
      </c>
      <c r="H9" s="560" t="s">
        <v>200</v>
      </c>
      <c r="I9" s="560" t="s">
        <v>269</v>
      </c>
      <c r="J9" s="563" t="s">
        <v>83</v>
      </c>
      <c r="K9" s="558" t="s">
        <v>84</v>
      </c>
      <c r="L9" s="559" t="s">
        <v>14</v>
      </c>
    </row>
    <row r="10" spans="1:12" ht="33.75" customHeight="1" thickTop="1" thickBot="1" x14ac:dyDescent="0.3">
      <c r="A10" s="558"/>
      <c r="B10" s="562"/>
      <c r="C10" s="558"/>
      <c r="D10" s="558"/>
      <c r="E10" s="558"/>
      <c r="F10" s="558"/>
      <c r="G10" s="561"/>
      <c r="H10" s="561"/>
      <c r="I10" s="561"/>
      <c r="J10" s="563"/>
      <c r="K10" s="558"/>
      <c r="L10" s="559"/>
    </row>
    <row r="11" spans="1:12" ht="16.5" thickTop="1" thickBot="1" x14ac:dyDescent="0.3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</row>
    <row r="12" spans="1:12" ht="16.5" thickTop="1" thickBot="1" x14ac:dyDescent="0.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2" ht="16.5" thickTop="1" thickBo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</row>
    <row r="14" spans="1:12" ht="16.5" thickTop="1" thickBot="1" x14ac:dyDescent="0.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</row>
    <row r="15" spans="1:12" ht="16.5" thickTop="1" thickBot="1" x14ac:dyDescent="0.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2" ht="16.5" thickTop="1" thickBot="1" x14ac:dyDescent="0.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16.5" thickTop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</row>
    <row r="18" spans="1:12" ht="15.75" thickTop="1" x14ac:dyDescent="0.25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67"/>
    </row>
    <row r="19" spans="1:12" ht="15" customHeight="1" x14ac:dyDescent="0.3">
      <c r="A19" s="548" t="s">
        <v>85</v>
      </c>
      <c r="B19" s="549"/>
      <c r="C19" s="549"/>
      <c r="D19" s="549"/>
      <c r="E19" s="549"/>
      <c r="F19" s="549"/>
      <c r="G19" s="549"/>
      <c r="H19" s="549"/>
      <c r="I19" s="549"/>
      <c r="J19" s="549"/>
      <c r="K19" s="549"/>
      <c r="L19" s="550"/>
    </row>
    <row r="20" spans="1:12" ht="15.75" x14ac:dyDescent="0.25">
      <c r="A20" s="69"/>
      <c r="B20" s="2"/>
      <c r="C20" s="2"/>
      <c r="D20" s="2"/>
      <c r="E20" s="2"/>
      <c r="F20" s="90"/>
      <c r="G20" s="90"/>
      <c r="H20" s="90"/>
      <c r="I20" s="90"/>
      <c r="J20" s="90"/>
      <c r="K20" s="90"/>
      <c r="L20" s="67"/>
    </row>
    <row r="21" spans="1:12" ht="15.75" x14ac:dyDescent="0.25">
      <c r="A21" s="69"/>
      <c r="B21" s="2"/>
      <c r="C21" s="2"/>
      <c r="D21" s="2"/>
      <c r="E21" s="2"/>
      <c r="F21" s="90"/>
      <c r="G21" s="90"/>
      <c r="H21" s="90"/>
      <c r="I21" s="90"/>
      <c r="J21" s="90"/>
      <c r="K21" s="90"/>
      <c r="L21" s="67"/>
    </row>
    <row r="22" spans="1:12" ht="15.75" customHeight="1" x14ac:dyDescent="0.25">
      <c r="A22" s="551" t="s">
        <v>86</v>
      </c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511"/>
    </row>
    <row r="23" spans="1:12" ht="15.75" x14ac:dyDescent="0.25">
      <c r="A23" s="69"/>
      <c r="B23" s="2"/>
      <c r="C23" s="2"/>
      <c r="D23" s="2"/>
      <c r="E23" s="2"/>
      <c r="F23" s="90"/>
      <c r="G23" s="90"/>
      <c r="H23" s="90"/>
      <c r="I23" s="90"/>
      <c r="J23" s="90"/>
      <c r="K23" s="90"/>
      <c r="L23" s="67"/>
    </row>
    <row r="24" spans="1:12" ht="15.75" x14ac:dyDescent="0.25">
      <c r="A24" s="69"/>
      <c r="B24" s="2"/>
      <c r="C24" s="2"/>
      <c r="D24" s="2"/>
      <c r="E24" s="2"/>
      <c r="F24" s="90"/>
      <c r="G24" s="90"/>
      <c r="H24" s="90"/>
      <c r="I24" s="90"/>
      <c r="J24" s="90"/>
      <c r="K24" s="90"/>
      <c r="L24" s="67"/>
    </row>
    <row r="25" spans="1:12" ht="15.75" thickBot="1" x14ac:dyDescent="0.3">
      <c r="A25" s="92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ht="15.75" thickTop="1" x14ac:dyDescent="0.25"/>
    <row r="27" spans="1:12" x14ac:dyDescent="0.25">
      <c r="A27" t="s">
        <v>87</v>
      </c>
    </row>
    <row r="28" spans="1:12" x14ac:dyDescent="0.25">
      <c r="A28" t="s">
        <v>88</v>
      </c>
    </row>
  </sheetData>
  <mergeCells count="19">
    <mergeCell ref="G4:L4"/>
    <mergeCell ref="J2:L2"/>
    <mergeCell ref="A19:L19"/>
    <mergeCell ref="A22:L22"/>
    <mergeCell ref="J1:L1"/>
    <mergeCell ref="A6:L6"/>
    <mergeCell ref="D9:D10"/>
    <mergeCell ref="A7:L7"/>
    <mergeCell ref="A9:A10"/>
    <mergeCell ref="B9:B10"/>
    <mergeCell ref="C9:C10"/>
    <mergeCell ref="E9:E10"/>
    <mergeCell ref="F9:F10"/>
    <mergeCell ref="J9:J10"/>
    <mergeCell ref="K9:K10"/>
    <mergeCell ref="L9:L10"/>
    <mergeCell ref="H9:H10"/>
    <mergeCell ref="I9:I10"/>
    <mergeCell ref="G9:G10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1"/>
  <sheetViews>
    <sheetView workbookViewId="0">
      <selection activeCell="L4" sqref="L4"/>
    </sheetView>
  </sheetViews>
  <sheetFormatPr baseColWidth="10" defaultRowHeight="15" x14ac:dyDescent="0.25"/>
  <cols>
    <col min="1" max="1" width="11.28515625" customWidth="1"/>
    <col min="2" max="2" width="20.42578125" customWidth="1"/>
    <col min="3" max="3" width="25.5703125" customWidth="1"/>
    <col min="4" max="4" width="14.7109375" customWidth="1"/>
    <col min="5" max="5" width="18.28515625" customWidth="1"/>
    <col min="6" max="6" width="10" customWidth="1"/>
    <col min="7" max="7" width="13.140625" customWidth="1"/>
    <col min="8" max="8" width="15.28515625" customWidth="1"/>
  </cols>
  <sheetData>
    <row r="1" spans="1:8" ht="15.75" thickTop="1" x14ac:dyDescent="0.25">
      <c r="A1" s="68" t="s">
        <v>146</v>
      </c>
      <c r="B1" s="72"/>
      <c r="C1" s="73"/>
      <c r="D1" s="74"/>
      <c r="E1" s="74"/>
      <c r="F1" s="567" t="s">
        <v>35</v>
      </c>
      <c r="G1" s="567"/>
      <c r="H1" s="568"/>
    </row>
    <row r="2" spans="1:8" x14ac:dyDescent="0.25">
      <c r="A2" s="75"/>
      <c r="B2" s="76"/>
      <c r="C2" s="77"/>
      <c r="D2" s="78"/>
      <c r="E2" s="78"/>
      <c r="F2" s="546" t="s">
        <v>243</v>
      </c>
      <c r="G2" s="546"/>
      <c r="H2" s="577"/>
    </row>
    <row r="3" spans="1:8" x14ac:dyDescent="0.25">
      <c r="A3" s="75"/>
      <c r="B3" s="76"/>
      <c r="C3" s="77"/>
      <c r="D3" s="78"/>
      <c r="E3" s="78"/>
      <c r="F3" s="79"/>
      <c r="G3" s="79"/>
      <c r="H3" s="80"/>
    </row>
    <row r="4" spans="1:8" x14ac:dyDescent="0.25">
      <c r="A4" s="68" t="s">
        <v>244</v>
      </c>
      <c r="B4" s="82"/>
      <c r="C4" s="77"/>
      <c r="D4" s="78"/>
      <c r="E4" s="301" t="s">
        <v>245</v>
      </c>
      <c r="F4" s="301"/>
      <c r="G4" s="301"/>
      <c r="H4" s="487"/>
    </row>
    <row r="5" spans="1:8" x14ac:dyDescent="0.25">
      <c r="A5" s="83"/>
      <c r="B5" s="79"/>
      <c r="C5" s="84"/>
      <c r="D5" s="79"/>
      <c r="E5" s="79"/>
      <c r="F5" s="79"/>
      <c r="G5" s="79"/>
      <c r="H5" s="80"/>
    </row>
    <row r="6" spans="1:8" ht="22.5" x14ac:dyDescent="0.25">
      <c r="A6" s="569" t="s">
        <v>242</v>
      </c>
      <c r="B6" s="540"/>
      <c r="C6" s="540"/>
      <c r="D6" s="540"/>
      <c r="E6" s="540"/>
      <c r="F6" s="540"/>
      <c r="G6" s="540"/>
      <c r="H6" s="570"/>
    </row>
    <row r="7" spans="1:8" x14ac:dyDescent="0.25">
      <c r="A7" s="85"/>
      <c r="B7" s="79"/>
      <c r="C7" s="79"/>
      <c r="D7" s="79"/>
      <c r="E7" s="79"/>
      <c r="F7" s="79"/>
      <c r="G7" s="79"/>
      <c r="H7" s="80"/>
    </row>
    <row r="8" spans="1:8" ht="15.75" thickBot="1" x14ac:dyDescent="0.3">
      <c r="A8" s="83"/>
      <c r="B8" s="79"/>
      <c r="C8" s="79"/>
      <c r="D8" s="79"/>
      <c r="E8" s="79"/>
      <c r="F8" s="79"/>
      <c r="G8" s="79"/>
      <c r="H8" s="80"/>
    </row>
    <row r="9" spans="1:8" ht="16.5" thickTop="1" thickBot="1" x14ac:dyDescent="0.3">
      <c r="A9" s="544" t="s">
        <v>26</v>
      </c>
      <c r="B9" s="544" t="s">
        <v>107</v>
      </c>
      <c r="C9" s="536" t="s">
        <v>54</v>
      </c>
      <c r="D9" s="571" t="s">
        <v>109</v>
      </c>
      <c r="E9" s="571" t="s">
        <v>108</v>
      </c>
      <c r="F9" s="575" t="s">
        <v>22</v>
      </c>
      <c r="G9" s="543" t="s">
        <v>14</v>
      </c>
      <c r="H9" s="543"/>
    </row>
    <row r="10" spans="1:8" ht="16.5" thickTop="1" thickBot="1" x14ac:dyDescent="0.3">
      <c r="A10" s="544"/>
      <c r="B10" s="544"/>
      <c r="C10" s="536"/>
      <c r="D10" s="572"/>
      <c r="E10" s="572"/>
      <c r="F10" s="576"/>
      <c r="G10" s="543"/>
      <c r="H10" s="543"/>
    </row>
    <row r="11" spans="1:8" ht="16.5" thickTop="1" thickBot="1" x14ac:dyDescent="0.3">
      <c r="A11" s="120"/>
      <c r="B11" s="120"/>
      <c r="C11" s="120"/>
      <c r="D11" s="120"/>
      <c r="E11" s="120"/>
      <c r="F11" s="120"/>
      <c r="G11" s="573"/>
      <c r="H11" s="574"/>
    </row>
    <row r="12" spans="1:8" ht="16.5" thickTop="1" thickBot="1" x14ac:dyDescent="0.3">
      <c r="A12" s="120"/>
      <c r="B12" s="120"/>
      <c r="C12" s="120"/>
      <c r="D12" s="120"/>
      <c r="E12" s="120"/>
      <c r="F12" s="120"/>
      <c r="G12" s="573"/>
      <c r="H12" s="574"/>
    </row>
    <row r="13" spans="1:8" ht="16.5" thickTop="1" thickBot="1" x14ac:dyDescent="0.3">
      <c r="A13" s="120"/>
      <c r="B13" s="120"/>
      <c r="C13" s="120"/>
      <c r="D13" s="120"/>
      <c r="E13" s="120"/>
      <c r="F13" s="120"/>
      <c r="G13" s="573"/>
      <c r="H13" s="574"/>
    </row>
    <row r="14" spans="1:8" ht="16.5" thickTop="1" thickBot="1" x14ac:dyDescent="0.3">
      <c r="A14" s="120"/>
      <c r="B14" s="120"/>
      <c r="C14" s="120"/>
      <c r="D14" s="120"/>
      <c r="E14" s="120"/>
      <c r="F14" s="120"/>
      <c r="G14" s="573"/>
      <c r="H14" s="574"/>
    </row>
    <row r="15" spans="1:8" ht="16.5" thickTop="1" thickBot="1" x14ac:dyDescent="0.3">
      <c r="A15" s="120"/>
      <c r="B15" s="120"/>
      <c r="C15" s="120"/>
      <c r="D15" s="120"/>
      <c r="E15" s="120"/>
      <c r="F15" s="120"/>
      <c r="G15" s="573"/>
      <c r="H15" s="574"/>
    </row>
    <row r="16" spans="1:8" ht="16.5" thickTop="1" thickBot="1" x14ac:dyDescent="0.3">
      <c r="A16" s="120"/>
      <c r="B16" s="120"/>
      <c r="C16" s="120"/>
      <c r="D16" s="120"/>
      <c r="E16" s="120"/>
      <c r="F16" s="120"/>
      <c r="G16" s="573"/>
      <c r="H16" s="574"/>
    </row>
    <row r="17" spans="1:8" ht="16.5" thickTop="1" thickBot="1" x14ac:dyDescent="0.3">
      <c r="A17" s="120"/>
      <c r="B17" s="120"/>
      <c r="C17" s="120"/>
      <c r="D17" s="120"/>
      <c r="E17" s="120"/>
      <c r="F17" s="120"/>
      <c r="G17" s="573"/>
      <c r="H17" s="574"/>
    </row>
    <row r="18" spans="1:8" ht="16.5" thickTop="1" thickBot="1" x14ac:dyDescent="0.3">
      <c r="A18" s="120"/>
      <c r="B18" s="120"/>
      <c r="C18" s="120"/>
      <c r="D18" s="120"/>
      <c r="E18" s="120"/>
      <c r="F18" s="120"/>
      <c r="G18" s="573"/>
      <c r="H18" s="574"/>
    </row>
    <row r="19" spans="1:8" ht="16.5" thickTop="1" thickBot="1" x14ac:dyDescent="0.3">
      <c r="A19" s="120"/>
      <c r="B19" s="120"/>
      <c r="C19" s="120"/>
      <c r="D19" s="120"/>
      <c r="E19" s="120"/>
      <c r="F19" s="120"/>
      <c r="G19" s="573"/>
      <c r="H19" s="574"/>
    </row>
    <row r="20" spans="1:8" ht="16.5" thickTop="1" thickBot="1" x14ac:dyDescent="0.3">
      <c r="A20" s="120"/>
      <c r="B20" s="120"/>
      <c r="C20" s="120"/>
      <c r="D20" s="120"/>
      <c r="E20" s="120"/>
      <c r="F20" s="120"/>
      <c r="G20" s="573"/>
      <c r="H20" s="574"/>
    </row>
    <row r="21" spans="1:8" ht="16.5" thickTop="1" thickBot="1" x14ac:dyDescent="0.3">
      <c r="A21" s="120"/>
      <c r="B21" s="120"/>
      <c r="C21" s="120"/>
      <c r="D21" s="120"/>
      <c r="E21" s="120"/>
      <c r="F21" s="120"/>
      <c r="G21" s="573"/>
      <c r="H21" s="574"/>
    </row>
    <row r="22" spans="1:8" ht="15.75" thickTop="1" x14ac:dyDescent="0.25">
      <c r="A22" s="83"/>
      <c r="B22" s="79"/>
      <c r="C22" s="79"/>
      <c r="D22" s="79"/>
      <c r="E22" s="79"/>
      <c r="F22" s="79"/>
      <c r="G22" s="79"/>
      <c r="H22" s="80"/>
    </row>
    <row r="23" spans="1:8" x14ac:dyDescent="0.25">
      <c r="A23" s="578" t="s">
        <v>181</v>
      </c>
      <c r="B23" s="546"/>
      <c r="C23" s="546"/>
      <c r="D23" s="546"/>
      <c r="E23" s="546"/>
      <c r="F23" s="546"/>
      <c r="G23" s="546"/>
      <c r="H23" s="577"/>
    </row>
    <row r="24" spans="1:8" x14ac:dyDescent="0.25">
      <c r="A24" s="81"/>
      <c r="B24" s="82"/>
      <c r="C24" s="82"/>
      <c r="D24" s="82"/>
      <c r="E24" s="82"/>
      <c r="F24" s="82"/>
      <c r="G24" s="79"/>
      <c r="H24" s="80"/>
    </row>
    <row r="25" spans="1:8" x14ac:dyDescent="0.25">
      <c r="A25" s="81"/>
      <c r="B25" s="82"/>
      <c r="C25" s="82"/>
      <c r="D25" s="82"/>
      <c r="E25" s="82"/>
      <c r="F25" s="82"/>
      <c r="G25" s="79"/>
      <c r="H25" s="80"/>
    </row>
    <row r="26" spans="1:8" x14ac:dyDescent="0.25">
      <c r="A26" s="81"/>
      <c r="B26" s="82"/>
      <c r="C26" s="82"/>
      <c r="D26" s="82"/>
      <c r="E26" s="82"/>
      <c r="F26" s="82"/>
      <c r="G26" s="79"/>
      <c r="H26" s="80"/>
    </row>
    <row r="27" spans="1:8" x14ac:dyDescent="0.25">
      <c r="A27" s="81"/>
      <c r="B27" s="82"/>
      <c r="C27" s="82"/>
      <c r="D27" s="82"/>
      <c r="E27" s="82"/>
      <c r="F27" s="82"/>
      <c r="G27" s="79"/>
      <c r="H27" s="80"/>
    </row>
    <row r="28" spans="1:8" x14ac:dyDescent="0.25">
      <c r="A28" s="564" t="s">
        <v>178</v>
      </c>
      <c r="B28" s="565"/>
      <c r="C28" s="565"/>
      <c r="D28" s="565"/>
      <c r="E28" s="565"/>
      <c r="F28" s="565"/>
      <c r="G28" s="565"/>
      <c r="H28" s="566"/>
    </row>
    <row r="29" spans="1:8" x14ac:dyDescent="0.25">
      <c r="A29" s="81"/>
      <c r="B29" s="82"/>
      <c r="C29" s="82"/>
      <c r="D29" s="82"/>
      <c r="E29" s="82"/>
      <c r="F29" s="82"/>
      <c r="G29" s="79"/>
      <c r="H29" s="80"/>
    </row>
    <row r="30" spans="1:8" ht="15.75" thickBot="1" x14ac:dyDescent="0.3">
      <c r="A30" s="86"/>
      <c r="B30" s="87"/>
      <c r="C30" s="87"/>
      <c r="D30" s="87"/>
      <c r="E30" s="87"/>
      <c r="F30" s="87"/>
      <c r="G30" s="88"/>
      <c r="H30" s="89"/>
    </row>
    <row r="31" spans="1:8" ht="15.75" thickTop="1" x14ac:dyDescent="0.25"/>
  </sheetData>
  <mergeCells count="24">
    <mergeCell ref="F2:H2"/>
    <mergeCell ref="A23:H23"/>
    <mergeCell ref="E4:H4"/>
    <mergeCell ref="G16:H16"/>
    <mergeCell ref="G18:H18"/>
    <mergeCell ref="G19:H19"/>
    <mergeCell ref="G20:H20"/>
    <mergeCell ref="G21:H21"/>
    <mergeCell ref="A28:H28"/>
    <mergeCell ref="F1:H1"/>
    <mergeCell ref="A6:H6"/>
    <mergeCell ref="A9:A10"/>
    <mergeCell ref="B9:B10"/>
    <mergeCell ref="C9:C10"/>
    <mergeCell ref="G9:H10"/>
    <mergeCell ref="D9:D10"/>
    <mergeCell ref="G17:H17"/>
    <mergeCell ref="E9:E10"/>
    <mergeCell ref="F9:F10"/>
    <mergeCell ref="G11:H11"/>
    <mergeCell ref="G12:H12"/>
    <mergeCell ref="G13:H13"/>
    <mergeCell ref="G14:H14"/>
    <mergeCell ref="G15:H15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9"/>
  <sheetViews>
    <sheetView workbookViewId="0">
      <selection activeCell="M22" sqref="M22"/>
    </sheetView>
  </sheetViews>
  <sheetFormatPr baseColWidth="10" defaultRowHeight="15" x14ac:dyDescent="0.25"/>
  <cols>
    <col min="1" max="1" width="15.7109375" customWidth="1"/>
    <col min="2" max="2" width="14.7109375" customWidth="1"/>
    <col min="3" max="3" width="14.140625" customWidth="1"/>
    <col min="4" max="4" width="18.140625" customWidth="1"/>
    <col min="5" max="5" width="17.140625" customWidth="1"/>
    <col min="6" max="6" width="13.140625" customWidth="1"/>
    <col min="7" max="7" width="12.85546875" customWidth="1"/>
    <col min="8" max="8" width="13" customWidth="1"/>
    <col min="9" max="9" width="12.140625" customWidth="1"/>
  </cols>
  <sheetData>
    <row r="1" spans="1:9" x14ac:dyDescent="0.25">
      <c r="A1" s="214" t="s">
        <v>146</v>
      </c>
      <c r="B1" s="139"/>
      <c r="C1" s="140"/>
      <c r="D1" s="141"/>
      <c r="E1" s="141"/>
      <c r="F1" s="234"/>
      <c r="G1" s="591" t="s">
        <v>35</v>
      </c>
      <c r="H1" s="591"/>
      <c r="I1" s="592"/>
    </row>
    <row r="2" spans="1:9" x14ac:dyDescent="0.25">
      <c r="A2" s="143"/>
      <c r="B2" s="76"/>
      <c r="C2" s="77"/>
      <c r="D2" s="78"/>
      <c r="E2" s="78"/>
      <c r="F2" s="79"/>
      <c r="G2" s="546" t="s">
        <v>53</v>
      </c>
      <c r="H2" s="546"/>
      <c r="I2" s="547"/>
    </row>
    <row r="3" spans="1:9" x14ac:dyDescent="0.25">
      <c r="A3" s="143"/>
      <c r="B3" s="76"/>
      <c r="C3" s="77"/>
      <c r="D3" s="78"/>
      <c r="E3" s="78"/>
      <c r="F3" s="79"/>
      <c r="G3" s="79"/>
      <c r="H3" s="79"/>
      <c r="I3" s="6"/>
    </row>
    <row r="4" spans="1:9" x14ac:dyDescent="0.25">
      <c r="A4" s="12" t="s">
        <v>246</v>
      </c>
      <c r="B4" s="82"/>
      <c r="C4" s="77"/>
      <c r="D4" s="78"/>
      <c r="E4" s="78"/>
      <c r="F4" s="301" t="s">
        <v>247</v>
      </c>
      <c r="G4" s="301"/>
      <c r="H4" s="301"/>
      <c r="I4" s="317"/>
    </row>
    <row r="5" spans="1:9" x14ac:dyDescent="0.25">
      <c r="A5" s="144"/>
      <c r="B5" s="79"/>
      <c r="C5" s="84"/>
      <c r="D5" s="79"/>
      <c r="E5" s="79"/>
      <c r="F5" s="79"/>
      <c r="G5" s="79"/>
      <c r="H5" s="79"/>
      <c r="I5" s="6"/>
    </row>
    <row r="6" spans="1:9" ht="22.5" customHeight="1" x14ac:dyDescent="0.25">
      <c r="A6" s="539" t="s">
        <v>271</v>
      </c>
      <c r="B6" s="593"/>
      <c r="C6" s="593"/>
      <c r="D6" s="593"/>
      <c r="E6" s="593"/>
      <c r="F6" s="593"/>
      <c r="G6" s="593"/>
      <c r="H6" s="593"/>
      <c r="I6" s="594"/>
    </row>
    <row r="7" spans="1:9" ht="15.75" thickBot="1" x14ac:dyDescent="0.3">
      <c r="A7" s="7"/>
      <c r="B7" s="2"/>
      <c r="C7" s="2"/>
      <c r="D7" s="2"/>
      <c r="E7" s="2"/>
      <c r="F7" s="2"/>
      <c r="G7" s="2"/>
      <c r="H7" s="2"/>
      <c r="I7" s="6"/>
    </row>
    <row r="8" spans="1:9" ht="16.5" thickTop="1" thickBot="1" x14ac:dyDescent="0.3">
      <c r="A8" s="581" t="s">
        <v>110</v>
      </c>
      <c r="B8" s="582" t="s">
        <v>111</v>
      </c>
      <c r="C8" s="582" t="s">
        <v>112</v>
      </c>
      <c r="D8" s="582" t="s">
        <v>113</v>
      </c>
      <c r="E8" s="582"/>
      <c r="F8" s="582" t="s">
        <v>114</v>
      </c>
      <c r="G8" s="582" t="s">
        <v>115</v>
      </c>
      <c r="H8" s="582" t="s">
        <v>116</v>
      </c>
      <c r="I8" s="590" t="s">
        <v>128</v>
      </c>
    </row>
    <row r="9" spans="1:9" ht="25.5" customHeight="1" thickTop="1" thickBot="1" x14ac:dyDescent="0.3">
      <c r="A9" s="581"/>
      <c r="B9" s="582"/>
      <c r="C9" s="582"/>
      <c r="D9" s="233" t="s">
        <v>127</v>
      </c>
      <c r="E9" s="233" t="s">
        <v>117</v>
      </c>
      <c r="F9" s="582"/>
      <c r="G9" s="582"/>
      <c r="H9" s="582"/>
      <c r="I9" s="590"/>
    </row>
    <row r="10" spans="1:9" ht="16.5" thickTop="1" thickBot="1" x14ac:dyDescent="0.3">
      <c r="A10" s="583"/>
      <c r="B10" s="580"/>
      <c r="C10" s="580"/>
      <c r="D10" s="232"/>
      <c r="E10" s="232"/>
      <c r="F10" s="580"/>
      <c r="G10" s="580"/>
      <c r="H10" s="580"/>
      <c r="I10" s="595"/>
    </row>
    <row r="11" spans="1:9" ht="16.5" thickTop="1" thickBot="1" x14ac:dyDescent="0.3">
      <c r="A11" s="583"/>
      <c r="B11" s="580"/>
      <c r="C11" s="580"/>
      <c r="D11" s="232"/>
      <c r="E11" s="232"/>
      <c r="F11" s="580"/>
      <c r="G11" s="580"/>
      <c r="H11" s="580"/>
      <c r="I11" s="595"/>
    </row>
    <row r="12" spans="1:9" ht="16.5" thickTop="1" thickBot="1" x14ac:dyDescent="0.3">
      <c r="A12" s="583"/>
      <c r="B12" s="580"/>
      <c r="C12" s="580"/>
      <c r="D12" s="232"/>
      <c r="E12" s="232"/>
      <c r="F12" s="580"/>
      <c r="G12" s="580"/>
      <c r="H12" s="580"/>
      <c r="I12" s="595"/>
    </row>
    <row r="13" spans="1:9" ht="16.5" thickTop="1" thickBot="1" x14ac:dyDescent="0.3">
      <c r="A13" s="583"/>
      <c r="B13" s="580"/>
      <c r="C13" s="580"/>
      <c r="D13" s="232"/>
      <c r="E13" s="232"/>
      <c r="F13" s="580"/>
      <c r="G13" s="580"/>
      <c r="H13" s="580"/>
      <c r="I13" s="595"/>
    </row>
    <row r="14" spans="1:9" ht="4.5" customHeight="1" thickTop="1" thickBot="1" x14ac:dyDescent="0.3">
      <c r="A14" s="583"/>
      <c r="B14" s="580"/>
      <c r="C14" s="580"/>
      <c r="D14" s="232"/>
      <c r="E14" s="232"/>
      <c r="F14" s="580"/>
      <c r="G14" s="580"/>
      <c r="H14" s="580"/>
      <c r="I14" s="595"/>
    </row>
    <row r="15" spans="1:9" ht="5.25" hidden="1" customHeight="1" x14ac:dyDescent="0.3">
      <c r="A15" s="583"/>
      <c r="B15" s="580"/>
      <c r="C15" s="580"/>
      <c r="D15" s="232"/>
      <c r="E15" s="232"/>
      <c r="F15" s="580"/>
      <c r="G15" s="580"/>
      <c r="H15" s="580"/>
      <c r="I15" s="595"/>
    </row>
    <row r="16" spans="1:9" ht="16.5" hidden="1" thickTop="1" thickBot="1" x14ac:dyDescent="0.3">
      <c r="A16" s="583"/>
      <c r="B16" s="580"/>
      <c r="C16" s="580"/>
      <c r="D16" s="232"/>
      <c r="E16" s="232"/>
      <c r="F16" s="580"/>
      <c r="G16" s="580"/>
      <c r="H16" s="580"/>
      <c r="I16" s="595"/>
    </row>
    <row r="17" spans="1:9" ht="37.5" customHeight="1" thickTop="1" thickBot="1" x14ac:dyDescent="0.3">
      <c r="A17" s="581" t="s">
        <v>118</v>
      </c>
      <c r="B17" s="582" t="s">
        <v>130</v>
      </c>
      <c r="C17" s="582" t="s">
        <v>119</v>
      </c>
      <c r="D17" s="582" t="s">
        <v>120</v>
      </c>
      <c r="E17" s="582" t="s">
        <v>121</v>
      </c>
      <c r="F17" s="582" t="s">
        <v>122</v>
      </c>
      <c r="G17" s="582" t="s">
        <v>123</v>
      </c>
      <c r="H17" s="582"/>
      <c r="I17" s="590" t="s">
        <v>129</v>
      </c>
    </row>
    <row r="18" spans="1:9" ht="16.5" thickTop="1" thickBot="1" x14ac:dyDescent="0.3">
      <c r="A18" s="581"/>
      <c r="B18" s="582"/>
      <c r="C18" s="582"/>
      <c r="D18" s="582"/>
      <c r="E18" s="582"/>
      <c r="F18" s="582"/>
      <c r="G18" s="233" t="s">
        <v>124</v>
      </c>
      <c r="H18" s="233" t="s">
        <v>125</v>
      </c>
      <c r="I18" s="590"/>
    </row>
    <row r="19" spans="1:9" ht="36" customHeight="1" thickTop="1" thickBot="1" x14ac:dyDescent="0.3">
      <c r="A19" s="243"/>
      <c r="B19" s="231"/>
      <c r="C19" s="231"/>
      <c r="D19" s="231"/>
      <c r="E19" s="231"/>
      <c r="F19" s="231"/>
      <c r="G19" s="230"/>
      <c r="H19" s="230"/>
      <c r="I19" s="244"/>
    </row>
    <row r="20" spans="1:9" ht="17.25" thickTop="1" thickBot="1" x14ac:dyDescent="0.3">
      <c r="A20" s="584" t="s">
        <v>126</v>
      </c>
      <c r="B20" s="585"/>
      <c r="C20" s="585"/>
      <c r="D20" s="585"/>
      <c r="E20" s="585"/>
      <c r="F20" s="585"/>
      <c r="G20" s="585"/>
      <c r="H20" s="585"/>
      <c r="I20" s="586"/>
    </row>
    <row r="21" spans="1:9" ht="15.75" thickTop="1" x14ac:dyDescent="0.25">
      <c r="A21" s="587"/>
      <c r="B21" s="588"/>
      <c r="C21" s="588"/>
      <c r="D21" s="588"/>
      <c r="E21" s="588"/>
      <c r="F21" s="588"/>
      <c r="G21" s="588"/>
      <c r="H21" s="588"/>
      <c r="I21" s="589"/>
    </row>
    <row r="22" spans="1:9" x14ac:dyDescent="0.25">
      <c r="A22" s="290"/>
      <c r="B22" s="291"/>
      <c r="C22" s="291"/>
      <c r="D22" s="291"/>
      <c r="E22" s="291"/>
      <c r="F22" s="291"/>
      <c r="G22" s="291"/>
      <c r="H22" s="291"/>
      <c r="I22" s="292"/>
    </row>
    <row r="23" spans="1:9" ht="18" customHeight="1" x14ac:dyDescent="0.25">
      <c r="A23" s="290"/>
      <c r="B23" s="291"/>
      <c r="C23" s="291"/>
      <c r="D23" s="291"/>
      <c r="E23" s="291"/>
      <c r="F23" s="291"/>
      <c r="G23" s="291"/>
      <c r="H23" s="291"/>
      <c r="I23" s="292"/>
    </row>
    <row r="24" spans="1:9" ht="18" customHeight="1" x14ac:dyDescent="0.25">
      <c r="A24" s="290"/>
      <c r="B24" s="291"/>
      <c r="C24" s="291"/>
      <c r="D24" s="291"/>
      <c r="E24" s="291"/>
      <c r="F24" s="291"/>
      <c r="G24" s="291"/>
      <c r="H24" s="291"/>
      <c r="I24" s="292"/>
    </row>
    <row r="25" spans="1:9" ht="15.75" thickBot="1" x14ac:dyDescent="0.3">
      <c r="A25" s="408"/>
      <c r="B25" s="367"/>
      <c r="C25" s="367"/>
      <c r="D25" s="367"/>
      <c r="E25" s="367"/>
      <c r="F25" s="367"/>
      <c r="G25" s="367"/>
      <c r="H25" s="367"/>
      <c r="I25" s="409"/>
    </row>
    <row r="26" spans="1:9" x14ac:dyDescent="0.25">
      <c r="A26" s="579" t="s">
        <v>182</v>
      </c>
      <c r="B26" s="382"/>
      <c r="C26" s="382"/>
      <c r="D26" s="382"/>
      <c r="E26" s="382"/>
      <c r="F26" s="382"/>
      <c r="G26" s="382"/>
      <c r="H26" s="382"/>
      <c r="I26" s="383"/>
    </row>
    <row r="27" spans="1:9" x14ac:dyDescent="0.25">
      <c r="A27" s="7"/>
      <c r="B27" s="2"/>
      <c r="C27" s="2"/>
      <c r="D27" s="2"/>
      <c r="E27" s="2"/>
      <c r="F27" s="2"/>
      <c r="G27" s="2"/>
      <c r="H27" s="2"/>
      <c r="I27" s="6"/>
    </row>
    <row r="28" spans="1:9" x14ac:dyDescent="0.25">
      <c r="A28" s="316" t="s">
        <v>178</v>
      </c>
      <c r="B28" s="301"/>
      <c r="C28" s="301"/>
      <c r="D28" s="301"/>
      <c r="E28" s="301"/>
      <c r="F28" s="301"/>
      <c r="G28" s="301"/>
      <c r="H28" s="301"/>
      <c r="I28" s="317"/>
    </row>
    <row r="29" spans="1:9" ht="15.75" thickBot="1" x14ac:dyDescent="0.3">
      <c r="A29" s="9"/>
      <c r="B29" s="10"/>
      <c r="C29" s="10"/>
      <c r="D29" s="10"/>
      <c r="E29" s="10"/>
      <c r="F29" s="10"/>
      <c r="G29" s="10"/>
      <c r="H29" s="10"/>
      <c r="I29" s="11"/>
    </row>
  </sheetData>
  <mergeCells count="31">
    <mergeCell ref="G1:I1"/>
    <mergeCell ref="G2:I2"/>
    <mergeCell ref="F4:I4"/>
    <mergeCell ref="A6:I6"/>
    <mergeCell ref="I10:I16"/>
    <mergeCell ref="A17:A18"/>
    <mergeCell ref="B17:B18"/>
    <mergeCell ref="C17:C18"/>
    <mergeCell ref="D17:D18"/>
    <mergeCell ref="E17:E18"/>
    <mergeCell ref="I17:I18"/>
    <mergeCell ref="F8:F9"/>
    <mergeCell ref="G8:G9"/>
    <mergeCell ref="H8:H9"/>
    <mergeCell ref="I8:I9"/>
    <mergeCell ref="A26:I26"/>
    <mergeCell ref="A28:I28"/>
    <mergeCell ref="H10:H16"/>
    <mergeCell ref="A8:A9"/>
    <mergeCell ref="B8:B9"/>
    <mergeCell ref="C8:C9"/>
    <mergeCell ref="D8:E8"/>
    <mergeCell ref="A10:A16"/>
    <mergeCell ref="B10:B16"/>
    <mergeCell ref="C10:C16"/>
    <mergeCell ref="F10:F16"/>
    <mergeCell ref="G10:G16"/>
    <mergeCell ref="A20:I20"/>
    <mergeCell ref="A21:I25"/>
    <mergeCell ref="F17:F18"/>
    <mergeCell ref="G17:H17"/>
  </mergeCells>
  <dataValidations count="5">
    <dataValidation operator="greaterThan" allowBlank="1" showInputMessage="1" showErrorMessage="1" sqref="G19" xr:uid="{00000000-0002-0000-1300-000000000000}"/>
    <dataValidation type="list" allowBlank="1" showInputMessage="1" showErrorMessage="1" sqref="A19" xr:uid="{00000000-0002-0000-1300-000001000000}">
      <formula1>origine2</formula1>
    </dataValidation>
    <dataValidation type="list" allowBlank="1" showInputMessage="1" showErrorMessage="1" sqref="D10:D16" xr:uid="{00000000-0002-0000-1300-000002000000}">
      <formula1>compo</formula1>
    </dataValidation>
    <dataValidation type="list" allowBlank="1" showInputMessage="1" showErrorMessage="1" sqref="B10:B16" xr:uid="{00000000-0002-0000-1300-000003000000}">
      <formula1>Bureau</formula1>
    </dataValidation>
    <dataValidation type="list" allowBlank="1" showErrorMessage="1" sqref="A10:A16" xr:uid="{00000000-0002-0000-1300-000004000000}">
      <formula1>TYPE</formula1>
    </dataValidation>
  </dataValidation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1"/>
  <sheetViews>
    <sheetView workbookViewId="0">
      <selection activeCell="N19" sqref="N19"/>
    </sheetView>
  </sheetViews>
  <sheetFormatPr baseColWidth="10" defaultRowHeight="15" x14ac:dyDescent="0.25"/>
  <cols>
    <col min="1" max="1" width="7.28515625" customWidth="1"/>
    <col min="2" max="2" width="12" customWidth="1"/>
    <col min="3" max="3" width="15" customWidth="1"/>
    <col min="4" max="4" width="12.42578125" customWidth="1"/>
    <col min="5" max="5" width="12" customWidth="1"/>
    <col min="6" max="6" width="14.7109375" customWidth="1"/>
    <col min="7" max="7" width="14.42578125" customWidth="1"/>
    <col min="8" max="8" width="12.140625" customWidth="1"/>
    <col min="9" max="9" width="10.42578125" customWidth="1"/>
    <col min="10" max="10" width="19.42578125" customWidth="1"/>
  </cols>
  <sheetData>
    <row r="1" spans="1:11" x14ac:dyDescent="0.25">
      <c r="A1" s="214" t="s">
        <v>146</v>
      </c>
      <c r="B1" s="139"/>
      <c r="C1" s="140"/>
      <c r="D1" s="141"/>
      <c r="E1" s="141"/>
      <c r="F1" s="5"/>
      <c r="G1" s="591" t="s">
        <v>35</v>
      </c>
      <c r="H1" s="591"/>
      <c r="I1" s="591"/>
      <c r="J1" s="592"/>
      <c r="K1" s="2"/>
    </row>
    <row r="2" spans="1:11" x14ac:dyDescent="0.25">
      <c r="A2" s="143"/>
      <c r="B2" s="76"/>
      <c r="C2" s="77"/>
      <c r="D2" s="78"/>
      <c r="E2" s="78"/>
      <c r="F2" s="79"/>
      <c r="G2" s="546" t="s">
        <v>53</v>
      </c>
      <c r="H2" s="546"/>
      <c r="I2" s="546"/>
      <c r="J2" s="547"/>
      <c r="K2" s="2"/>
    </row>
    <row r="3" spans="1:11" x14ac:dyDescent="0.25">
      <c r="A3" s="143"/>
      <c r="B3" s="76"/>
      <c r="C3" s="77"/>
      <c r="D3" s="78"/>
      <c r="E3" s="78"/>
      <c r="F3" s="79"/>
      <c r="G3" s="79"/>
      <c r="H3" s="79"/>
      <c r="I3" s="79"/>
      <c r="J3" s="147"/>
      <c r="K3" s="2"/>
    </row>
    <row r="4" spans="1:11" x14ac:dyDescent="0.25">
      <c r="A4" s="12" t="s">
        <v>248</v>
      </c>
      <c r="B4" s="82"/>
      <c r="C4" s="77"/>
      <c r="D4" s="78"/>
      <c r="E4" s="2"/>
      <c r="F4" s="18"/>
      <c r="G4" s="301" t="s">
        <v>249</v>
      </c>
      <c r="H4" s="301"/>
      <c r="I4" s="301"/>
      <c r="J4" s="317"/>
      <c r="K4" s="2"/>
    </row>
    <row r="5" spans="1:11" x14ac:dyDescent="0.25">
      <c r="A5" s="144"/>
      <c r="B5" s="79"/>
      <c r="C5" s="84"/>
      <c r="D5" s="79"/>
      <c r="E5" s="79"/>
      <c r="F5" s="79"/>
      <c r="G5" s="79"/>
      <c r="H5" s="79"/>
      <c r="I5" s="79"/>
      <c r="J5" s="147"/>
      <c r="K5" s="2"/>
    </row>
    <row r="6" spans="1:11" ht="22.5" x14ac:dyDescent="0.25">
      <c r="A6" s="539" t="s">
        <v>261</v>
      </c>
      <c r="B6" s="593"/>
      <c r="C6" s="593"/>
      <c r="D6" s="593"/>
      <c r="E6" s="593"/>
      <c r="F6" s="593"/>
      <c r="G6" s="593"/>
      <c r="H6" s="593"/>
      <c r="I6" s="593"/>
      <c r="J6" s="594"/>
      <c r="K6" s="2"/>
    </row>
    <row r="7" spans="1:11" x14ac:dyDescent="0.25">
      <c r="A7" s="145"/>
      <c r="B7" s="146"/>
      <c r="C7" s="146"/>
      <c r="D7" s="146"/>
      <c r="E7" s="146"/>
      <c r="F7" s="2"/>
      <c r="G7" s="2"/>
      <c r="H7" s="2"/>
      <c r="I7" s="2"/>
      <c r="J7" s="6"/>
      <c r="K7" s="2"/>
    </row>
    <row r="8" spans="1:11" ht="15.75" thickBot="1" x14ac:dyDescent="0.3">
      <c r="A8" s="7"/>
      <c r="B8" s="2"/>
      <c r="C8" s="2"/>
      <c r="D8" s="2"/>
      <c r="E8" s="2"/>
      <c r="F8" s="2"/>
      <c r="G8" s="2"/>
      <c r="H8" s="2"/>
      <c r="I8" s="2"/>
      <c r="J8" s="6"/>
    </row>
    <row r="9" spans="1:11" ht="61.5" customHeight="1" thickTop="1" thickBot="1" x14ac:dyDescent="0.3">
      <c r="A9" s="245" t="s">
        <v>183</v>
      </c>
      <c r="B9" s="245" t="s">
        <v>262</v>
      </c>
      <c r="C9" s="245" t="s">
        <v>132</v>
      </c>
      <c r="D9" s="245" t="s">
        <v>265</v>
      </c>
      <c r="E9" s="245" t="s">
        <v>263</v>
      </c>
      <c r="F9" s="245" t="s">
        <v>266</v>
      </c>
      <c r="G9" s="245" t="s">
        <v>267</v>
      </c>
      <c r="H9" s="245" t="s">
        <v>268</v>
      </c>
      <c r="I9" s="245" t="s">
        <v>264</v>
      </c>
      <c r="J9" s="245" t="s">
        <v>134</v>
      </c>
    </row>
    <row r="10" spans="1:11" ht="16.5" thickTop="1" thickBot="1" x14ac:dyDescent="0.3">
      <c r="A10" s="184"/>
      <c r="B10" s="184"/>
      <c r="C10" s="184"/>
      <c r="D10" s="184"/>
      <c r="E10" s="184"/>
      <c r="F10" s="184"/>
      <c r="G10" s="184"/>
      <c r="H10" s="184"/>
      <c r="I10" s="184"/>
      <c r="J10" s="184"/>
    </row>
    <row r="11" spans="1:11" ht="11.25" customHeight="1" thickBot="1" x14ac:dyDescent="0.3">
      <c r="A11" s="184"/>
      <c r="B11" s="184"/>
      <c r="C11" s="184"/>
      <c r="D11" s="184"/>
      <c r="E11" s="184"/>
      <c r="F11" s="184"/>
      <c r="G11" s="184"/>
      <c r="H11" s="184"/>
      <c r="I11" s="184"/>
      <c r="J11" s="184"/>
    </row>
    <row r="12" spans="1:11" ht="16.5" hidden="1" customHeight="1" thickTop="1" thickBot="1" x14ac:dyDescent="0.3">
      <c r="A12" s="184"/>
      <c r="B12" s="184"/>
      <c r="C12" s="184"/>
      <c r="D12" s="184"/>
      <c r="E12" s="184"/>
      <c r="F12" s="184"/>
      <c r="G12" s="184"/>
      <c r="H12" s="184"/>
      <c r="I12" s="184"/>
      <c r="J12" s="184"/>
    </row>
    <row r="13" spans="1:11" ht="16.5" customHeight="1" thickBot="1" x14ac:dyDescent="0.3">
      <c r="A13" s="184"/>
      <c r="B13" s="184"/>
      <c r="C13" s="184"/>
      <c r="D13" s="184"/>
      <c r="E13" s="184"/>
      <c r="F13" s="184"/>
      <c r="G13" s="184"/>
      <c r="H13" s="184"/>
      <c r="I13" s="184"/>
      <c r="J13" s="184"/>
    </row>
    <row r="14" spans="1:11" ht="16.5" customHeight="1" thickBot="1" x14ac:dyDescent="0.3">
      <c r="A14" s="184"/>
      <c r="B14" s="184"/>
      <c r="C14" s="184"/>
      <c r="D14" s="184"/>
      <c r="E14" s="184"/>
      <c r="F14" s="184"/>
      <c r="G14" s="184"/>
      <c r="H14" s="184"/>
      <c r="I14" s="184"/>
      <c r="J14" s="184"/>
    </row>
    <row r="15" spans="1:11" ht="16.5" customHeight="1" thickBot="1" x14ac:dyDescent="0.3">
      <c r="A15" s="184"/>
      <c r="B15" s="184"/>
      <c r="C15" s="184"/>
      <c r="D15" s="184"/>
      <c r="E15" s="184"/>
      <c r="F15" s="184"/>
      <c r="G15" s="184"/>
      <c r="H15" s="184"/>
      <c r="I15" s="184"/>
      <c r="J15" s="184"/>
    </row>
    <row r="16" spans="1:11" ht="15.75" thickBot="1" x14ac:dyDescent="0.3">
      <c r="A16" s="184"/>
      <c r="B16" s="184"/>
      <c r="C16" s="184"/>
      <c r="D16" s="184"/>
      <c r="E16" s="184"/>
      <c r="F16" s="184"/>
      <c r="G16" s="184"/>
      <c r="H16" s="184"/>
      <c r="I16" s="184"/>
      <c r="J16" s="184"/>
    </row>
    <row r="17" spans="1:10" ht="15.75" thickBot="1" x14ac:dyDescent="0.3">
      <c r="A17" s="184"/>
      <c r="B17" s="184"/>
      <c r="C17" s="184"/>
      <c r="D17" s="184"/>
      <c r="E17" s="184"/>
      <c r="F17" s="184"/>
      <c r="G17" s="184"/>
      <c r="H17" s="184"/>
      <c r="I17" s="184"/>
      <c r="J17" s="184"/>
    </row>
    <row r="18" spans="1:10" ht="15.75" thickBot="1" x14ac:dyDescent="0.3">
      <c r="A18" s="184"/>
      <c r="B18" s="184"/>
      <c r="C18" s="184"/>
      <c r="D18" s="184"/>
      <c r="E18" s="184"/>
      <c r="F18" s="184"/>
      <c r="G18" s="184"/>
      <c r="H18" s="184"/>
      <c r="I18" s="184"/>
      <c r="J18" s="184"/>
    </row>
    <row r="19" spans="1:10" ht="15.75" customHeight="1" thickBot="1" x14ac:dyDescent="0.3">
      <c r="A19" s="184"/>
      <c r="B19" s="184"/>
      <c r="C19" s="184"/>
      <c r="D19" s="184"/>
      <c r="E19" s="184"/>
      <c r="F19" s="184"/>
      <c r="G19" s="184"/>
      <c r="H19" s="184"/>
      <c r="I19" s="184"/>
      <c r="J19" s="184"/>
    </row>
    <row r="20" spans="1:10" ht="16.5" hidden="1" customHeight="1" thickTop="1" thickBot="1" x14ac:dyDescent="0.3">
      <c r="A20" s="184"/>
      <c r="B20" s="184"/>
      <c r="C20" s="184"/>
      <c r="D20" s="184"/>
      <c r="E20" s="184"/>
      <c r="F20" s="184"/>
      <c r="G20" s="184"/>
      <c r="H20" s="184"/>
      <c r="I20" s="184"/>
      <c r="J20" s="184"/>
    </row>
    <row r="21" spans="1:10" ht="16.5" hidden="1" customHeight="1" thickTop="1" thickBot="1" x14ac:dyDescent="0.3">
      <c r="A21" s="184"/>
      <c r="B21" s="184"/>
      <c r="C21" s="184"/>
      <c r="D21" s="184"/>
      <c r="E21" s="184"/>
      <c r="F21" s="184"/>
      <c r="G21" s="184"/>
      <c r="H21" s="184"/>
      <c r="I21" s="184"/>
      <c r="J21" s="184"/>
    </row>
    <row r="22" spans="1:10" ht="15.75" thickBot="1" x14ac:dyDescent="0.3">
      <c r="A22" s="184"/>
      <c r="B22" s="184"/>
      <c r="C22" s="184"/>
      <c r="D22" s="184"/>
      <c r="E22" s="184"/>
      <c r="F22" s="184"/>
      <c r="G22" s="184"/>
      <c r="H22" s="184"/>
      <c r="I22" s="184"/>
      <c r="J22" s="184"/>
    </row>
    <row r="23" spans="1:10" ht="15.75" thickBot="1" x14ac:dyDescent="0.3">
      <c r="A23" s="184"/>
      <c r="B23" s="184"/>
      <c r="C23" s="184"/>
      <c r="D23" s="184"/>
      <c r="E23" s="184"/>
      <c r="F23" s="184"/>
      <c r="G23" s="184"/>
      <c r="H23" s="184"/>
      <c r="I23" s="184"/>
      <c r="J23" s="184"/>
    </row>
    <row r="24" spans="1:10" x14ac:dyDescent="0.25">
      <c r="A24" s="7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25">
      <c r="A25" s="304" t="s">
        <v>259</v>
      </c>
      <c r="B25" s="303"/>
      <c r="C25" s="303"/>
      <c r="D25" s="303"/>
      <c r="E25" s="303"/>
      <c r="F25" s="303"/>
      <c r="G25" s="303"/>
      <c r="H25" s="303"/>
      <c r="I25" s="303"/>
      <c r="J25" s="441"/>
    </row>
    <row r="26" spans="1:10" x14ac:dyDescent="0.25">
      <c r="A26" s="7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25">
      <c r="A27" s="7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5">
      <c r="A28" s="7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25">
      <c r="A29" s="304" t="s">
        <v>260</v>
      </c>
      <c r="B29" s="303"/>
      <c r="C29" s="303"/>
      <c r="D29" s="303"/>
      <c r="E29" s="303"/>
      <c r="F29" s="303"/>
      <c r="G29" s="303"/>
      <c r="H29" s="303"/>
      <c r="I29" s="303"/>
      <c r="J29" s="441"/>
    </row>
    <row r="30" spans="1:10" x14ac:dyDescent="0.25">
      <c r="A30" s="7"/>
      <c r="B30" s="2"/>
      <c r="C30" s="2"/>
      <c r="D30" s="2"/>
      <c r="E30" s="2"/>
      <c r="F30" s="2"/>
      <c r="G30" s="2"/>
      <c r="H30" s="2"/>
      <c r="I30" s="2"/>
      <c r="J30" s="6"/>
    </row>
    <row r="31" spans="1:10" ht="15.75" thickBot="1" x14ac:dyDescent="0.3">
      <c r="A31" s="9"/>
      <c r="B31" s="10"/>
      <c r="C31" s="10"/>
      <c r="D31" s="10"/>
      <c r="E31" s="10"/>
      <c r="F31" s="10"/>
      <c r="G31" s="10"/>
      <c r="H31" s="10"/>
      <c r="I31" s="10"/>
      <c r="J31" s="11"/>
    </row>
  </sheetData>
  <mergeCells count="6">
    <mergeCell ref="A29:J29"/>
    <mergeCell ref="G1:J1"/>
    <mergeCell ref="G2:J2"/>
    <mergeCell ref="G4:J4"/>
    <mergeCell ref="A6:J6"/>
    <mergeCell ref="A25:J25"/>
  </mergeCells>
  <dataValidations count="1">
    <dataValidation type="list" allowBlank="1" showInputMessage="1" showErrorMessage="1" sqref="B10:B23" xr:uid="{00000000-0002-0000-1400-000000000000}">
      <formula1>terrains</formula1>
    </dataValidation>
  </dataValidation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2"/>
  <sheetViews>
    <sheetView workbookViewId="0">
      <selection activeCell="J17" sqref="J17"/>
    </sheetView>
  </sheetViews>
  <sheetFormatPr baseColWidth="10" defaultRowHeight="15" x14ac:dyDescent="0.25"/>
  <cols>
    <col min="1" max="1" width="7.28515625" customWidth="1"/>
    <col min="2" max="2" width="16.140625" customWidth="1"/>
    <col min="3" max="3" width="19.140625" customWidth="1"/>
    <col min="4" max="4" width="15.5703125" customWidth="1"/>
    <col min="5" max="5" width="14.85546875" customWidth="1"/>
    <col min="6" max="6" width="18" customWidth="1"/>
    <col min="7" max="7" width="20.140625" customWidth="1"/>
    <col min="8" max="8" width="19.42578125" customWidth="1"/>
  </cols>
  <sheetData>
    <row r="1" spans="1:9" x14ac:dyDescent="0.25">
      <c r="A1" s="214" t="s">
        <v>146</v>
      </c>
      <c r="B1" s="139"/>
      <c r="C1" s="140"/>
      <c r="D1" s="141"/>
      <c r="E1" s="141"/>
      <c r="F1" s="5"/>
      <c r="G1" s="591" t="s">
        <v>35</v>
      </c>
      <c r="H1" s="592"/>
      <c r="I1" s="2"/>
    </row>
    <row r="2" spans="1:9" x14ac:dyDescent="0.25">
      <c r="A2" s="143"/>
      <c r="B2" s="76"/>
      <c r="C2" s="77"/>
      <c r="D2" s="78"/>
      <c r="E2" s="78"/>
      <c r="F2" s="79"/>
      <c r="G2" s="546" t="s">
        <v>53</v>
      </c>
      <c r="H2" s="547"/>
      <c r="I2" s="2"/>
    </row>
    <row r="3" spans="1:9" x14ac:dyDescent="0.25">
      <c r="A3" s="143"/>
      <c r="B3" s="76"/>
      <c r="C3" s="77"/>
      <c r="D3" s="78"/>
      <c r="E3" s="78"/>
      <c r="F3" s="79"/>
      <c r="G3" s="79"/>
      <c r="H3" s="147"/>
      <c r="I3" s="2"/>
    </row>
    <row r="4" spans="1:9" x14ac:dyDescent="0.25">
      <c r="A4" s="12" t="s">
        <v>248</v>
      </c>
      <c r="B4" s="82"/>
      <c r="C4" s="77"/>
      <c r="D4" s="78"/>
      <c r="E4" s="2"/>
      <c r="F4" s="18"/>
      <c r="G4" s="301" t="s">
        <v>249</v>
      </c>
      <c r="H4" s="317"/>
      <c r="I4" s="2"/>
    </row>
    <row r="5" spans="1:9" x14ac:dyDescent="0.25">
      <c r="A5" s="144"/>
      <c r="B5" s="79"/>
      <c r="C5" s="84"/>
      <c r="D5" s="79"/>
      <c r="E5" s="79"/>
      <c r="F5" s="79"/>
      <c r="G5" s="79"/>
      <c r="H5" s="147"/>
      <c r="I5" s="2"/>
    </row>
    <row r="6" spans="1:9" ht="22.5" x14ac:dyDescent="0.25">
      <c r="A6" s="539" t="s">
        <v>258</v>
      </c>
      <c r="B6" s="593"/>
      <c r="C6" s="593"/>
      <c r="D6" s="593"/>
      <c r="E6" s="593"/>
      <c r="F6" s="593"/>
      <c r="G6" s="593"/>
      <c r="H6" s="594"/>
      <c r="I6" s="2"/>
    </row>
    <row r="7" spans="1:9" x14ac:dyDescent="0.25">
      <c r="A7" s="145"/>
      <c r="B7" s="146"/>
      <c r="C7" s="146"/>
      <c r="D7" s="146"/>
      <c r="E7" s="146"/>
      <c r="F7" s="2"/>
      <c r="G7" s="2"/>
      <c r="H7" s="6"/>
      <c r="I7" s="2"/>
    </row>
    <row r="8" spans="1:9" ht="15.75" thickBot="1" x14ac:dyDescent="0.3">
      <c r="A8" s="7"/>
      <c r="B8" s="2"/>
      <c r="C8" s="2"/>
      <c r="D8" s="2"/>
      <c r="E8" s="2"/>
      <c r="F8" s="2"/>
      <c r="G8" s="2"/>
      <c r="H8" s="6"/>
    </row>
    <row r="9" spans="1:9" ht="61.5" customHeight="1" thickTop="1" thickBot="1" x14ac:dyDescent="0.3">
      <c r="A9" s="245" t="s">
        <v>183</v>
      </c>
      <c r="B9" s="149" t="s">
        <v>137</v>
      </c>
      <c r="C9" s="149" t="s">
        <v>132</v>
      </c>
      <c r="D9" s="149" t="s">
        <v>133</v>
      </c>
      <c r="E9" s="149" t="s">
        <v>119</v>
      </c>
      <c r="F9" s="149" t="s">
        <v>135</v>
      </c>
      <c r="G9" s="149" t="s">
        <v>136</v>
      </c>
      <c r="H9" s="246" t="s">
        <v>134</v>
      </c>
    </row>
    <row r="10" spans="1:9" ht="16.5" thickTop="1" thickBot="1" x14ac:dyDescent="0.3">
      <c r="A10" s="184"/>
      <c r="B10" s="184"/>
      <c r="C10" s="184"/>
      <c r="D10" s="184"/>
      <c r="E10" s="184"/>
      <c r="F10" s="184"/>
      <c r="G10" s="184"/>
      <c r="H10" s="184"/>
    </row>
    <row r="11" spans="1:9" ht="11.25" customHeight="1" thickBot="1" x14ac:dyDescent="0.3">
      <c r="A11" s="184"/>
      <c r="B11" s="184"/>
      <c r="C11" s="184"/>
      <c r="D11" s="184"/>
      <c r="E11" s="184"/>
      <c r="F11" s="184"/>
      <c r="G11" s="184"/>
      <c r="H11" s="184"/>
    </row>
    <row r="12" spans="1:9" ht="16.5" hidden="1" customHeight="1" thickTop="1" thickBot="1" x14ac:dyDescent="0.3">
      <c r="A12" s="184"/>
      <c r="B12" s="184"/>
      <c r="C12" s="184"/>
      <c r="D12" s="184"/>
      <c r="E12" s="184"/>
      <c r="F12" s="184"/>
      <c r="G12" s="184"/>
      <c r="H12" s="184"/>
    </row>
    <row r="13" spans="1:9" ht="16.5" customHeight="1" thickBot="1" x14ac:dyDescent="0.3">
      <c r="A13" s="184"/>
      <c r="B13" s="184"/>
      <c r="C13" s="184"/>
      <c r="D13" s="184"/>
      <c r="E13" s="184"/>
      <c r="F13" s="184"/>
      <c r="G13" s="184"/>
      <c r="H13" s="184"/>
    </row>
    <row r="14" spans="1:9" ht="16.5" customHeight="1" thickBot="1" x14ac:dyDescent="0.3">
      <c r="A14" s="184"/>
      <c r="B14" s="184"/>
      <c r="C14" s="184"/>
      <c r="D14" s="184"/>
      <c r="E14" s="184"/>
      <c r="F14" s="184"/>
      <c r="G14" s="184"/>
      <c r="H14" s="184"/>
    </row>
    <row r="15" spans="1:9" ht="16.5" customHeight="1" thickBot="1" x14ac:dyDescent="0.3">
      <c r="A15" s="184"/>
      <c r="B15" s="184"/>
      <c r="C15" s="184"/>
      <c r="D15" s="184"/>
      <c r="E15" s="184"/>
      <c r="F15" s="184"/>
      <c r="G15" s="184"/>
      <c r="H15" s="184"/>
    </row>
    <row r="16" spans="1:9" ht="15.75" thickBot="1" x14ac:dyDescent="0.3">
      <c r="A16" s="184"/>
      <c r="B16" s="184"/>
      <c r="C16" s="184"/>
      <c r="D16" s="184"/>
      <c r="E16" s="184"/>
      <c r="F16" s="184"/>
      <c r="G16" s="184"/>
      <c r="H16" s="184"/>
    </row>
    <row r="17" spans="1:8" ht="15.75" thickBot="1" x14ac:dyDescent="0.3">
      <c r="A17" s="184"/>
      <c r="B17" s="184"/>
      <c r="C17" s="184"/>
      <c r="D17" s="184"/>
      <c r="E17" s="184"/>
      <c r="F17" s="184"/>
      <c r="G17" s="184"/>
      <c r="H17" s="184"/>
    </row>
    <row r="18" spans="1:8" ht="15.75" thickBot="1" x14ac:dyDescent="0.3">
      <c r="A18" s="184"/>
      <c r="B18" s="184"/>
      <c r="C18" s="184"/>
      <c r="D18" s="184"/>
      <c r="E18" s="184"/>
      <c r="F18" s="184"/>
      <c r="G18" s="184"/>
      <c r="H18" s="184"/>
    </row>
    <row r="19" spans="1:8" ht="15.75" customHeight="1" thickBot="1" x14ac:dyDescent="0.3">
      <c r="A19" s="184"/>
      <c r="B19" s="184"/>
      <c r="C19" s="184"/>
      <c r="D19" s="184"/>
      <c r="E19" s="184"/>
      <c r="F19" s="184"/>
      <c r="G19" s="184"/>
      <c r="H19" s="184"/>
    </row>
    <row r="20" spans="1:8" ht="16.5" hidden="1" customHeight="1" thickTop="1" thickBot="1" x14ac:dyDescent="0.3">
      <c r="A20" s="184"/>
      <c r="B20" s="184"/>
      <c r="C20" s="184"/>
      <c r="D20" s="184"/>
      <c r="E20" s="184"/>
      <c r="F20" s="184"/>
      <c r="G20" s="184"/>
      <c r="H20" s="184"/>
    </row>
    <row r="21" spans="1:8" ht="16.5" hidden="1" customHeight="1" thickTop="1" thickBot="1" x14ac:dyDescent="0.3">
      <c r="A21" s="184"/>
      <c r="B21" s="184"/>
      <c r="C21" s="184"/>
      <c r="D21" s="184"/>
      <c r="E21" s="184"/>
      <c r="F21" s="184"/>
      <c r="G21" s="184"/>
      <c r="H21" s="184"/>
    </row>
    <row r="22" spans="1:8" ht="15.75" thickBot="1" x14ac:dyDescent="0.3">
      <c r="A22" s="184"/>
      <c r="B22" s="184"/>
      <c r="C22" s="184"/>
      <c r="D22" s="184"/>
      <c r="E22" s="184"/>
      <c r="F22" s="184"/>
      <c r="G22" s="184"/>
      <c r="H22" s="184"/>
    </row>
    <row r="23" spans="1:8" ht="15.75" thickBot="1" x14ac:dyDescent="0.3">
      <c r="A23" s="184"/>
      <c r="B23" s="184"/>
      <c r="C23" s="184"/>
      <c r="D23" s="184"/>
      <c r="E23" s="184"/>
      <c r="F23" s="184"/>
      <c r="G23" s="184"/>
      <c r="H23" s="184"/>
    </row>
    <row r="24" spans="1:8" x14ac:dyDescent="0.25">
      <c r="A24" s="7"/>
      <c r="B24" s="2"/>
      <c r="C24" s="2"/>
      <c r="D24" s="2"/>
      <c r="E24" s="2"/>
      <c r="F24" s="2"/>
      <c r="G24" s="2"/>
      <c r="H24" s="6"/>
    </row>
    <row r="25" spans="1:8" x14ac:dyDescent="0.25">
      <c r="A25" s="7"/>
      <c r="B25" s="2"/>
      <c r="C25" s="2"/>
      <c r="D25" s="2"/>
      <c r="E25" s="2"/>
      <c r="F25" s="2"/>
      <c r="G25" s="2"/>
      <c r="H25" s="6"/>
    </row>
    <row r="26" spans="1:8" x14ac:dyDescent="0.25">
      <c r="A26" s="304" t="s">
        <v>259</v>
      </c>
      <c r="B26" s="303"/>
      <c r="C26" s="303"/>
      <c r="D26" s="303"/>
      <c r="E26" s="303"/>
      <c r="F26" s="303"/>
      <c r="G26" s="303"/>
      <c r="H26" s="441"/>
    </row>
    <row r="27" spans="1:8" x14ac:dyDescent="0.25">
      <c r="A27" s="7"/>
      <c r="B27" s="2"/>
      <c r="C27" s="2"/>
      <c r="D27" s="2"/>
      <c r="E27" s="2"/>
      <c r="F27" s="2"/>
      <c r="G27" s="2"/>
      <c r="H27" s="6"/>
    </row>
    <row r="28" spans="1:8" x14ac:dyDescent="0.25">
      <c r="A28" s="7"/>
      <c r="B28" s="2"/>
      <c r="C28" s="2"/>
      <c r="D28" s="2"/>
      <c r="E28" s="2"/>
      <c r="F28" s="2"/>
      <c r="G28" s="2"/>
      <c r="H28" s="6"/>
    </row>
    <row r="29" spans="1:8" x14ac:dyDescent="0.25">
      <c r="A29" s="7"/>
      <c r="B29" s="2"/>
      <c r="C29" s="2"/>
      <c r="D29" s="2"/>
      <c r="E29" s="2"/>
      <c r="F29" s="2"/>
      <c r="G29" s="2"/>
      <c r="H29" s="6"/>
    </row>
    <row r="30" spans="1:8" x14ac:dyDescent="0.25">
      <c r="A30" s="304" t="s">
        <v>260</v>
      </c>
      <c r="B30" s="303"/>
      <c r="C30" s="303"/>
      <c r="D30" s="303"/>
      <c r="E30" s="303"/>
      <c r="F30" s="303"/>
      <c r="G30" s="303"/>
      <c r="H30" s="441"/>
    </row>
    <row r="31" spans="1:8" x14ac:dyDescent="0.25">
      <c r="A31" s="7"/>
      <c r="B31" s="2"/>
      <c r="C31" s="2"/>
      <c r="D31" s="2"/>
      <c r="E31" s="2"/>
      <c r="F31" s="2"/>
      <c r="G31" s="2"/>
      <c r="H31" s="6"/>
    </row>
    <row r="32" spans="1:8" ht="15.75" thickBot="1" x14ac:dyDescent="0.3">
      <c r="A32" s="9"/>
      <c r="B32" s="10"/>
      <c r="C32" s="10"/>
      <c r="D32" s="10"/>
      <c r="E32" s="10"/>
      <c r="F32" s="10"/>
      <c r="G32" s="10"/>
      <c r="H32" s="11"/>
    </row>
  </sheetData>
  <mergeCells count="6">
    <mergeCell ref="G1:H1"/>
    <mergeCell ref="G2:H2"/>
    <mergeCell ref="G4:H4"/>
    <mergeCell ref="A30:H30"/>
    <mergeCell ref="A26:H26"/>
    <mergeCell ref="A6:H6"/>
  </mergeCells>
  <dataValidations count="1">
    <dataValidation type="list" allowBlank="1" showInputMessage="1" showErrorMessage="1" sqref="B10:B23" xr:uid="{00000000-0002-0000-1500-000000000000}">
      <formula1>terrains</formula1>
    </dataValidation>
  </dataValidation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4"/>
  <sheetViews>
    <sheetView workbookViewId="0">
      <selection activeCell="Q21" sqref="Q21"/>
    </sheetView>
  </sheetViews>
  <sheetFormatPr baseColWidth="10" defaultRowHeight="15" x14ac:dyDescent="0.25"/>
  <cols>
    <col min="1" max="1" width="8.5703125" customWidth="1"/>
    <col min="2" max="2" width="16.7109375" customWidth="1"/>
    <col min="3" max="3" width="8.28515625" customWidth="1"/>
    <col min="4" max="4" width="10.42578125" customWidth="1"/>
    <col min="5" max="5" width="11" customWidth="1"/>
    <col min="6" max="6" width="12.140625" customWidth="1"/>
    <col min="7" max="7" width="16.5703125" customWidth="1"/>
    <col min="8" max="8" width="13" customWidth="1"/>
    <col min="9" max="9" width="14" customWidth="1"/>
    <col min="10" max="10" width="18" customWidth="1"/>
  </cols>
  <sheetData>
    <row r="1" spans="1:11" x14ac:dyDescent="0.25">
      <c r="A1" s="214" t="s">
        <v>146</v>
      </c>
      <c r="B1" s="139"/>
      <c r="C1" s="140"/>
      <c r="D1" s="141"/>
      <c r="E1" s="141"/>
      <c r="F1" s="139"/>
      <c r="G1" s="139"/>
      <c r="H1" s="139"/>
      <c r="I1" s="591" t="s">
        <v>35</v>
      </c>
      <c r="J1" s="592"/>
      <c r="K1" s="2"/>
    </row>
    <row r="2" spans="1:11" x14ac:dyDescent="0.25">
      <c r="A2" s="143"/>
      <c r="B2" s="76"/>
      <c r="C2" s="77"/>
      <c r="D2" s="78"/>
      <c r="E2" s="78"/>
      <c r="F2" s="79"/>
      <c r="G2" s="79"/>
      <c r="H2" s="79"/>
      <c r="I2" s="546" t="s">
        <v>53</v>
      </c>
      <c r="J2" s="547"/>
      <c r="K2" s="2"/>
    </row>
    <row r="3" spans="1:11" x14ac:dyDescent="0.25">
      <c r="A3" s="143"/>
      <c r="B3" s="76"/>
      <c r="C3" s="77"/>
      <c r="D3" s="78"/>
      <c r="E3" s="78"/>
      <c r="F3" s="79"/>
      <c r="G3" s="79"/>
      <c r="H3" s="79"/>
      <c r="I3" s="79"/>
      <c r="J3" s="147"/>
      <c r="K3" s="2"/>
    </row>
    <row r="4" spans="1:11" x14ac:dyDescent="0.25">
      <c r="A4" s="12" t="s">
        <v>244</v>
      </c>
      <c r="B4" s="82"/>
      <c r="C4" s="77"/>
      <c r="D4" s="78"/>
      <c r="E4" s="78"/>
      <c r="F4" s="79"/>
      <c r="G4" s="2"/>
      <c r="H4" s="18"/>
      <c r="I4" s="18" t="s">
        <v>250</v>
      </c>
      <c r="J4" s="229"/>
      <c r="K4" s="2"/>
    </row>
    <row r="5" spans="1:11" x14ac:dyDescent="0.25">
      <c r="A5" s="144"/>
      <c r="B5" s="79"/>
      <c r="C5" s="84"/>
      <c r="D5" s="79"/>
      <c r="E5" s="79"/>
      <c r="F5" s="79"/>
      <c r="G5" s="79"/>
      <c r="H5" s="79"/>
      <c r="I5" s="79"/>
      <c r="J5" s="147"/>
      <c r="K5" s="2"/>
    </row>
    <row r="6" spans="1:11" ht="22.5" x14ac:dyDescent="0.25">
      <c r="A6" s="539" t="s">
        <v>138</v>
      </c>
      <c r="B6" s="593"/>
      <c r="C6" s="593"/>
      <c r="D6" s="593"/>
      <c r="E6" s="593"/>
      <c r="F6" s="593"/>
      <c r="G6" s="593"/>
      <c r="H6" s="593"/>
      <c r="I6" s="593"/>
      <c r="J6" s="594"/>
      <c r="K6" s="2"/>
    </row>
    <row r="7" spans="1:11" x14ac:dyDescent="0.25">
      <c r="A7" s="145"/>
      <c r="B7" s="146"/>
      <c r="C7" s="146"/>
      <c r="D7" s="146"/>
      <c r="E7" s="146"/>
      <c r="F7" s="2"/>
      <c r="G7" s="2"/>
      <c r="H7" s="2"/>
      <c r="I7" s="2"/>
      <c r="J7" s="6"/>
      <c r="K7" s="2"/>
    </row>
    <row r="8" spans="1:11" ht="15.75" thickBot="1" x14ac:dyDescent="0.3">
      <c r="A8" s="7"/>
      <c r="B8" s="2"/>
      <c r="C8" s="2"/>
      <c r="D8" s="2"/>
      <c r="E8" s="2"/>
      <c r="F8" s="2"/>
      <c r="G8" s="2"/>
      <c r="H8" s="2"/>
      <c r="I8" s="2"/>
      <c r="J8" s="6"/>
    </row>
    <row r="9" spans="1:11" ht="61.5" customHeight="1" thickTop="1" thickBot="1" x14ac:dyDescent="0.3">
      <c r="A9" s="187" t="s">
        <v>131</v>
      </c>
      <c r="B9" s="149" t="s">
        <v>78</v>
      </c>
      <c r="C9" s="148" t="s">
        <v>61</v>
      </c>
      <c r="D9" s="148" t="s">
        <v>9</v>
      </c>
      <c r="E9" s="149" t="s">
        <v>21</v>
      </c>
      <c r="F9" s="152" t="s">
        <v>139</v>
      </c>
      <c r="G9" s="152" t="s">
        <v>140</v>
      </c>
      <c r="H9" s="152" t="s">
        <v>141</v>
      </c>
      <c r="I9" s="152" t="s">
        <v>142</v>
      </c>
      <c r="J9" s="153" t="s">
        <v>13</v>
      </c>
    </row>
    <row r="10" spans="1:11" ht="16.5" thickTop="1" thickBot="1" x14ac:dyDescent="0.3">
      <c r="A10" s="150"/>
      <c r="B10" s="133"/>
      <c r="C10" s="136"/>
      <c r="D10" s="136"/>
      <c r="E10" s="151"/>
      <c r="F10" s="133"/>
      <c r="G10" s="133"/>
      <c r="H10" s="133"/>
      <c r="I10" s="133"/>
      <c r="J10" s="247"/>
    </row>
    <row r="11" spans="1:11" ht="11.25" customHeight="1" thickTop="1" thickBot="1" x14ac:dyDescent="0.3">
      <c r="A11" s="150"/>
      <c r="B11" s="133"/>
      <c r="C11" s="136"/>
      <c r="D11" s="136"/>
      <c r="E11" s="151"/>
      <c r="F11" s="133"/>
      <c r="G11" s="133"/>
      <c r="H11" s="133"/>
      <c r="I11" s="133"/>
      <c r="J11" s="247"/>
    </row>
    <row r="12" spans="1:11" ht="16.5" hidden="1" customHeight="1" thickTop="1" thickBot="1" x14ac:dyDescent="0.3">
      <c r="A12" s="150"/>
      <c r="B12" s="133"/>
      <c r="C12" s="136"/>
      <c r="D12" s="136"/>
      <c r="E12" s="151"/>
      <c r="F12" s="133"/>
      <c r="G12" s="133"/>
      <c r="H12" s="133"/>
      <c r="I12" s="133"/>
      <c r="J12" s="247"/>
    </row>
    <row r="13" spans="1:11" ht="16.5" thickTop="1" thickBot="1" x14ac:dyDescent="0.3">
      <c r="A13" s="150"/>
      <c r="B13" s="133"/>
      <c r="C13" s="136"/>
      <c r="D13" s="136"/>
      <c r="E13" s="151"/>
      <c r="F13" s="133"/>
      <c r="G13" s="133"/>
      <c r="H13" s="133"/>
      <c r="I13" s="133"/>
      <c r="J13" s="247"/>
    </row>
    <row r="14" spans="1:11" ht="15.75" customHeight="1" thickTop="1" thickBot="1" x14ac:dyDescent="0.3">
      <c r="A14" s="150"/>
      <c r="B14" s="133"/>
      <c r="C14" s="136"/>
      <c r="D14" s="136"/>
      <c r="E14" s="151"/>
      <c r="F14" s="133"/>
      <c r="G14" s="133"/>
      <c r="H14" s="133"/>
      <c r="I14" s="133"/>
      <c r="J14" s="247"/>
    </row>
    <row r="15" spans="1:11" ht="16.5" hidden="1" customHeight="1" thickTop="1" thickBot="1" x14ac:dyDescent="0.3">
      <c r="A15" s="150"/>
      <c r="B15" s="133"/>
      <c r="C15" s="136"/>
      <c r="D15" s="136"/>
      <c r="E15" s="151"/>
      <c r="F15" s="133"/>
      <c r="G15" s="133"/>
      <c r="H15" s="133"/>
      <c r="I15" s="133"/>
      <c r="J15" s="247"/>
    </row>
    <row r="16" spans="1:11" ht="16.5" hidden="1" customHeight="1" thickTop="1" thickBot="1" x14ac:dyDescent="0.3">
      <c r="A16" s="150"/>
      <c r="B16" s="133"/>
      <c r="C16" s="136"/>
      <c r="D16" s="136"/>
      <c r="E16" s="151"/>
      <c r="F16" s="133"/>
      <c r="G16" s="133"/>
      <c r="H16" s="133"/>
      <c r="I16" s="133"/>
      <c r="J16" s="247"/>
    </row>
    <row r="17" spans="1:10" ht="16.5" thickTop="1" thickBot="1" x14ac:dyDescent="0.3">
      <c r="A17" s="150"/>
      <c r="B17" s="133"/>
      <c r="C17" s="136"/>
      <c r="D17" s="136"/>
      <c r="E17" s="151"/>
      <c r="F17" s="133"/>
      <c r="G17" s="133"/>
      <c r="H17" s="133"/>
      <c r="I17" s="133"/>
      <c r="J17" s="247"/>
    </row>
    <row r="18" spans="1:10" ht="14.25" customHeight="1" thickTop="1" thickBot="1" x14ac:dyDescent="0.3">
      <c r="A18" s="150"/>
      <c r="B18" s="133"/>
      <c r="C18" s="136"/>
      <c r="D18" s="136"/>
      <c r="E18" s="151"/>
      <c r="F18" s="133"/>
      <c r="G18" s="133"/>
      <c r="H18" s="133"/>
      <c r="I18" s="133"/>
      <c r="J18" s="247"/>
    </row>
    <row r="19" spans="1:10" ht="16.5" hidden="1" customHeight="1" thickTop="1" thickBot="1" x14ac:dyDescent="0.3">
      <c r="A19" s="150"/>
      <c r="B19" s="133"/>
      <c r="C19" s="136"/>
      <c r="D19" s="136"/>
      <c r="E19" s="151"/>
      <c r="F19" s="133"/>
      <c r="G19" s="133"/>
      <c r="H19" s="133"/>
      <c r="I19" s="133"/>
      <c r="J19" s="247"/>
    </row>
    <row r="20" spans="1:10" ht="16.5" hidden="1" customHeight="1" thickTop="1" thickBot="1" x14ac:dyDescent="0.3">
      <c r="A20" s="150"/>
      <c r="B20" s="133"/>
      <c r="C20" s="136"/>
      <c r="D20" s="136"/>
      <c r="E20" s="151"/>
      <c r="F20" s="133"/>
      <c r="G20" s="133"/>
      <c r="H20" s="133"/>
      <c r="I20" s="133"/>
      <c r="J20" s="247"/>
    </row>
    <row r="21" spans="1:10" ht="16.5" thickTop="1" thickBot="1" x14ac:dyDescent="0.3">
      <c r="A21" s="150"/>
      <c r="B21" s="133"/>
      <c r="C21" s="133"/>
      <c r="D21" s="133"/>
      <c r="E21" s="133"/>
      <c r="F21" s="133"/>
      <c r="G21" s="133"/>
      <c r="H21" s="133"/>
      <c r="I21" s="133"/>
      <c r="J21" s="247"/>
    </row>
    <row r="22" spans="1:10" ht="16.5" thickTop="1" thickBot="1" x14ac:dyDescent="0.3">
      <c r="A22" s="150"/>
      <c r="B22" s="133"/>
      <c r="C22" s="133"/>
      <c r="D22" s="133"/>
      <c r="E22" s="133"/>
      <c r="F22" s="133"/>
      <c r="G22" s="133"/>
      <c r="H22" s="133"/>
      <c r="I22" s="133"/>
      <c r="J22" s="247"/>
    </row>
    <row r="23" spans="1:10" ht="19.5" customHeight="1" thickTop="1" thickBot="1" x14ac:dyDescent="0.3">
      <c r="A23" s="150"/>
      <c r="B23" s="133"/>
      <c r="C23" s="133"/>
      <c r="D23" s="133"/>
      <c r="E23" s="133"/>
      <c r="F23" s="133"/>
      <c r="G23" s="133"/>
      <c r="H23" s="133"/>
      <c r="I23" s="133"/>
      <c r="J23" s="247"/>
    </row>
    <row r="24" spans="1:10" ht="3" customHeight="1" thickTop="1" x14ac:dyDescent="0.25">
      <c r="A24" s="248"/>
      <c r="B24" s="186"/>
      <c r="C24" s="52"/>
      <c r="D24" s="52"/>
      <c r="E24" s="186"/>
      <c r="F24" s="186"/>
      <c r="G24" s="186"/>
      <c r="H24" s="186"/>
      <c r="I24" s="186"/>
      <c r="J24" s="249"/>
    </row>
    <row r="25" spans="1:10" ht="15.75" thickBot="1" x14ac:dyDescent="0.3">
      <c r="A25" s="188"/>
      <c r="B25" s="183"/>
      <c r="C25" s="185"/>
      <c r="D25" s="185"/>
      <c r="E25" s="189"/>
      <c r="F25" s="183"/>
      <c r="G25" s="183"/>
      <c r="H25" s="183"/>
      <c r="I25" s="183"/>
      <c r="J25" s="250"/>
    </row>
    <row r="26" spans="1:10" ht="16.5" thickTop="1" thickBot="1" x14ac:dyDescent="0.3">
      <c r="A26" s="150"/>
      <c r="B26" s="133"/>
      <c r="C26" s="136"/>
      <c r="D26" s="136"/>
      <c r="E26" s="151"/>
      <c r="F26" s="133"/>
      <c r="G26" s="133"/>
      <c r="H26" s="133"/>
      <c r="I26" s="133"/>
      <c r="J26" s="247"/>
    </row>
    <row r="27" spans="1:10" ht="15.75" thickTop="1" x14ac:dyDescent="0.25">
      <c r="A27" s="7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25">
      <c r="A28" s="316" t="s">
        <v>143</v>
      </c>
      <c r="B28" s="301"/>
      <c r="C28" s="301"/>
      <c r="D28" s="301"/>
      <c r="E28" s="301"/>
      <c r="F28" s="301"/>
      <c r="G28" s="301"/>
      <c r="H28" s="301"/>
      <c r="I28" s="301"/>
      <c r="J28" s="317"/>
    </row>
    <row r="29" spans="1:10" x14ac:dyDescent="0.25">
      <c r="A29" s="227"/>
      <c r="B29" s="228"/>
      <c r="C29" s="228"/>
      <c r="D29" s="228"/>
      <c r="E29" s="228"/>
      <c r="F29" s="228"/>
      <c r="G29" s="228"/>
      <c r="H29" s="228"/>
      <c r="I29" s="228"/>
      <c r="J29" s="229"/>
    </row>
    <row r="30" spans="1:10" x14ac:dyDescent="0.25">
      <c r="A30" s="7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25">
      <c r="A31" s="7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25">
      <c r="A32" s="7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25">
      <c r="A33" s="316" t="s">
        <v>184</v>
      </c>
      <c r="B33" s="301"/>
      <c r="C33" s="301"/>
      <c r="D33" s="301"/>
      <c r="E33" s="301"/>
      <c r="F33" s="301"/>
      <c r="G33" s="301"/>
      <c r="H33" s="301"/>
      <c r="I33" s="301"/>
      <c r="J33" s="317"/>
    </row>
    <row r="34" spans="1:10" ht="15.75" thickBot="1" x14ac:dyDescent="0.3">
      <c r="A34" s="9"/>
      <c r="B34" s="10"/>
      <c r="C34" s="10"/>
      <c r="D34" s="10"/>
      <c r="E34" s="10"/>
      <c r="F34" s="10"/>
      <c r="G34" s="10"/>
      <c r="H34" s="10"/>
      <c r="I34" s="10"/>
      <c r="J34" s="11"/>
    </row>
  </sheetData>
  <mergeCells count="5">
    <mergeCell ref="A28:J28"/>
    <mergeCell ref="A33:J33"/>
    <mergeCell ref="A6:J6"/>
    <mergeCell ref="I1:J1"/>
    <mergeCell ref="I2:J2"/>
  </mergeCells>
  <dataValidations count="1">
    <dataValidation type="list" allowBlank="1" showInputMessage="1" showErrorMessage="1" sqref="B10:B26" xr:uid="{00000000-0002-0000-1600-000000000000}">
      <formula1>terrains</formula1>
    </dataValidation>
  </dataValidation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1"/>
  <sheetViews>
    <sheetView topLeftCell="A19" workbookViewId="0">
      <selection activeCell="O24" sqref="O24"/>
    </sheetView>
  </sheetViews>
  <sheetFormatPr baseColWidth="10" defaultRowHeight="15" x14ac:dyDescent="0.25"/>
  <cols>
    <col min="1" max="1" width="7.28515625" customWidth="1"/>
    <col min="2" max="2" width="12" customWidth="1"/>
    <col min="3" max="3" width="15" customWidth="1"/>
    <col min="4" max="4" width="13" customWidth="1"/>
    <col min="5" max="5" width="14.28515625" customWidth="1"/>
    <col min="6" max="6" width="18.28515625" customWidth="1"/>
    <col min="7" max="7" width="16.5703125" customWidth="1"/>
    <col min="8" max="8" width="15.140625" customWidth="1"/>
    <col min="9" max="9" width="19.42578125" customWidth="1"/>
  </cols>
  <sheetData>
    <row r="1" spans="1:10" x14ac:dyDescent="0.25">
      <c r="A1" s="214" t="s">
        <v>146</v>
      </c>
      <c r="B1" s="139"/>
      <c r="C1" s="140"/>
      <c r="D1" s="141"/>
      <c r="E1" s="141"/>
      <c r="F1" s="5"/>
      <c r="G1" s="591" t="s">
        <v>35</v>
      </c>
      <c r="H1" s="591"/>
      <c r="I1" s="592"/>
      <c r="J1" s="2"/>
    </row>
    <row r="2" spans="1:10" x14ac:dyDescent="0.25">
      <c r="A2" s="143"/>
      <c r="B2" s="76"/>
      <c r="C2" s="77"/>
      <c r="D2" s="78"/>
      <c r="E2" s="78"/>
      <c r="F2" s="79"/>
      <c r="G2" s="546" t="s">
        <v>53</v>
      </c>
      <c r="H2" s="546"/>
      <c r="I2" s="547"/>
      <c r="J2" s="2"/>
    </row>
    <row r="3" spans="1:10" x14ac:dyDescent="0.25">
      <c r="A3" s="143"/>
      <c r="B3" s="76"/>
      <c r="C3" s="77"/>
      <c r="D3" s="78"/>
      <c r="E3" s="78"/>
      <c r="F3" s="79"/>
      <c r="G3" s="79"/>
      <c r="H3" s="79"/>
      <c r="I3" s="147"/>
      <c r="J3" s="2"/>
    </row>
    <row r="4" spans="1:10" x14ac:dyDescent="0.25">
      <c r="A4" s="12" t="s">
        <v>248</v>
      </c>
      <c r="B4" s="82"/>
      <c r="C4" s="77"/>
      <c r="D4" s="78"/>
      <c r="E4" s="2"/>
      <c r="F4" s="18"/>
      <c r="G4" s="301" t="s">
        <v>249</v>
      </c>
      <c r="H4" s="301"/>
      <c r="I4" s="317"/>
      <c r="J4" s="2"/>
    </row>
    <row r="5" spans="1:10" x14ac:dyDescent="0.25">
      <c r="A5" s="144"/>
      <c r="B5" s="79"/>
      <c r="C5" s="84"/>
      <c r="D5" s="79"/>
      <c r="E5" s="79"/>
      <c r="F5" s="79"/>
      <c r="G5" s="79"/>
      <c r="H5" s="79"/>
      <c r="I5" s="147"/>
      <c r="J5" s="2"/>
    </row>
    <row r="6" spans="1:10" ht="22.5" x14ac:dyDescent="0.25">
      <c r="A6" s="539" t="s">
        <v>272</v>
      </c>
      <c r="B6" s="593"/>
      <c r="C6" s="593"/>
      <c r="D6" s="593"/>
      <c r="E6" s="593"/>
      <c r="F6" s="593"/>
      <c r="G6" s="593"/>
      <c r="H6" s="593"/>
      <c r="I6" s="594"/>
      <c r="J6" s="2"/>
    </row>
    <row r="7" spans="1:10" x14ac:dyDescent="0.25">
      <c r="A7" s="145"/>
      <c r="B7" s="146"/>
      <c r="C7" s="146"/>
      <c r="D7" s="146"/>
      <c r="E7" s="146"/>
      <c r="F7" s="2"/>
      <c r="G7" s="2"/>
      <c r="H7" s="2"/>
      <c r="I7" s="6"/>
      <c r="J7" s="2"/>
    </row>
    <row r="8" spans="1:10" ht="15.75" thickBot="1" x14ac:dyDescent="0.3">
      <c r="A8" s="7"/>
      <c r="B8" s="2"/>
      <c r="C8" s="2"/>
      <c r="D8" s="2"/>
      <c r="E8" s="2"/>
      <c r="F8" s="2"/>
      <c r="G8" s="2"/>
      <c r="H8" s="2"/>
      <c r="I8" s="6"/>
    </row>
    <row r="9" spans="1:10" ht="61.5" customHeight="1" thickBot="1" x14ac:dyDescent="0.3">
      <c r="A9" s="258" t="s">
        <v>183</v>
      </c>
      <c r="B9" s="258" t="s">
        <v>262</v>
      </c>
      <c r="C9" s="258" t="s">
        <v>132</v>
      </c>
      <c r="D9" s="258" t="s">
        <v>265</v>
      </c>
      <c r="E9" s="258" t="s">
        <v>263</v>
      </c>
      <c r="F9" s="258" t="s">
        <v>266</v>
      </c>
      <c r="G9" s="258" t="s">
        <v>273</v>
      </c>
      <c r="H9" s="258" t="s">
        <v>264</v>
      </c>
      <c r="I9" s="258" t="s">
        <v>134</v>
      </c>
    </row>
    <row r="10" spans="1:10" ht="15.75" thickBot="1" x14ac:dyDescent="0.3">
      <c r="A10" s="184"/>
      <c r="B10" s="184"/>
      <c r="C10" s="184"/>
      <c r="D10" s="184"/>
      <c r="E10" s="184"/>
      <c r="F10" s="184"/>
      <c r="G10" s="184"/>
      <c r="H10" s="184"/>
      <c r="I10" s="184"/>
    </row>
    <row r="11" spans="1:10" ht="18.75" customHeight="1" thickBot="1" x14ac:dyDescent="0.3">
      <c r="A11" s="259"/>
      <c r="B11" s="259"/>
      <c r="C11" s="259"/>
      <c r="D11" s="259"/>
      <c r="E11" s="259"/>
      <c r="F11" s="259"/>
      <c r="G11" s="259"/>
      <c r="H11" s="259"/>
      <c r="I11" s="259"/>
    </row>
    <row r="12" spans="1:10" ht="16.5" hidden="1" customHeight="1" thickTop="1" thickBot="1" x14ac:dyDescent="0.3">
      <c r="A12" s="261"/>
      <c r="B12" s="261"/>
      <c r="C12" s="261"/>
      <c r="D12" s="261"/>
      <c r="E12" s="261"/>
      <c r="F12" s="261"/>
      <c r="G12" s="261"/>
      <c r="H12" s="261"/>
      <c r="I12" s="261"/>
    </row>
    <row r="13" spans="1:10" ht="16.5" customHeight="1" thickBot="1" x14ac:dyDescent="0.3">
      <c r="A13" s="262"/>
      <c r="B13" s="262"/>
      <c r="C13" s="262"/>
      <c r="D13" s="262"/>
      <c r="E13" s="262"/>
      <c r="F13" s="262"/>
      <c r="G13" s="262"/>
      <c r="H13" s="262"/>
      <c r="I13" s="262"/>
    </row>
    <row r="14" spans="1:10" ht="16.5" customHeight="1" thickBot="1" x14ac:dyDescent="0.3">
      <c r="A14" s="184"/>
      <c r="B14" s="184"/>
      <c r="C14" s="184"/>
      <c r="D14" s="184"/>
      <c r="E14" s="184"/>
      <c r="F14" s="184"/>
      <c r="G14" s="184"/>
      <c r="H14" s="184"/>
      <c r="I14" s="184"/>
    </row>
    <row r="15" spans="1:10" ht="16.5" customHeight="1" thickBot="1" x14ac:dyDescent="0.3">
      <c r="A15" s="184"/>
      <c r="B15" s="184"/>
      <c r="C15" s="184"/>
      <c r="D15" s="184"/>
      <c r="E15" s="184"/>
      <c r="F15" s="184"/>
      <c r="G15" s="184"/>
      <c r="H15" s="184"/>
      <c r="I15" s="184"/>
    </row>
    <row r="16" spans="1:10" ht="15.75" thickBot="1" x14ac:dyDescent="0.3">
      <c r="A16" s="184"/>
      <c r="B16" s="184"/>
      <c r="C16" s="184"/>
      <c r="D16" s="184"/>
      <c r="E16" s="184"/>
      <c r="F16" s="184"/>
      <c r="G16" s="184"/>
      <c r="H16" s="184"/>
      <c r="I16" s="184"/>
    </row>
    <row r="17" spans="1:9" ht="15.75" thickBot="1" x14ac:dyDescent="0.3">
      <c r="A17" s="184"/>
      <c r="B17" s="184"/>
      <c r="C17" s="184"/>
      <c r="D17" s="184"/>
      <c r="E17" s="184"/>
      <c r="F17" s="184"/>
      <c r="G17" s="184"/>
      <c r="H17" s="184"/>
      <c r="I17" s="184"/>
    </row>
    <row r="18" spans="1:9" ht="15.75" thickBot="1" x14ac:dyDescent="0.3">
      <c r="A18" s="184"/>
      <c r="B18" s="184"/>
      <c r="C18" s="184"/>
      <c r="D18" s="184"/>
      <c r="E18" s="184"/>
      <c r="F18" s="184"/>
      <c r="G18" s="184"/>
      <c r="H18" s="184"/>
      <c r="I18" s="184"/>
    </row>
    <row r="19" spans="1:9" ht="15.75" customHeight="1" thickBot="1" x14ac:dyDescent="0.3">
      <c r="A19" s="259"/>
      <c r="B19" s="259"/>
      <c r="C19" s="259"/>
      <c r="D19" s="259"/>
      <c r="E19" s="259"/>
      <c r="F19" s="259"/>
      <c r="G19" s="259"/>
      <c r="H19" s="259"/>
      <c r="I19" s="259"/>
    </row>
    <row r="20" spans="1:9" ht="16.5" hidden="1" customHeight="1" thickTop="1" thickBot="1" x14ac:dyDescent="0.3">
      <c r="A20" s="260"/>
      <c r="B20" s="260"/>
      <c r="C20" s="260"/>
      <c r="D20" s="260"/>
      <c r="E20" s="260"/>
      <c r="F20" s="260"/>
      <c r="G20" s="260"/>
      <c r="H20" s="260"/>
      <c r="I20" s="260"/>
    </row>
    <row r="21" spans="1:9" ht="16.5" hidden="1" customHeight="1" thickTop="1" thickBot="1" x14ac:dyDescent="0.3">
      <c r="A21" s="261"/>
      <c r="B21" s="261"/>
      <c r="C21" s="261"/>
      <c r="D21" s="261"/>
      <c r="E21" s="261"/>
      <c r="F21" s="261"/>
      <c r="G21" s="261"/>
      <c r="H21" s="261"/>
      <c r="I21" s="261"/>
    </row>
    <row r="22" spans="1:9" ht="15.75" thickBot="1" x14ac:dyDescent="0.3">
      <c r="A22" s="184"/>
      <c r="B22" s="184"/>
      <c r="C22" s="184"/>
      <c r="D22" s="184"/>
      <c r="E22" s="184"/>
      <c r="F22" s="184"/>
      <c r="G22" s="184"/>
      <c r="H22" s="184"/>
      <c r="I22" s="184"/>
    </row>
    <row r="23" spans="1:9" ht="15.75" thickBot="1" x14ac:dyDescent="0.3">
      <c r="A23" s="184"/>
      <c r="B23" s="184"/>
      <c r="C23" s="184"/>
      <c r="D23" s="184"/>
      <c r="E23" s="184"/>
      <c r="F23" s="184"/>
      <c r="G23" s="184"/>
      <c r="H23" s="184"/>
      <c r="I23" s="184"/>
    </row>
    <row r="24" spans="1:9" x14ac:dyDescent="0.25">
      <c r="A24" s="7"/>
      <c r="B24" s="2"/>
      <c r="C24" s="2"/>
      <c r="D24" s="2"/>
      <c r="E24" s="2"/>
      <c r="F24" s="2"/>
      <c r="G24" s="2"/>
      <c r="H24" s="2"/>
      <c r="I24" s="6"/>
    </row>
    <row r="25" spans="1:9" x14ac:dyDescent="0.25">
      <c r="A25" s="304" t="s">
        <v>259</v>
      </c>
      <c r="B25" s="303"/>
      <c r="C25" s="303"/>
      <c r="D25" s="303"/>
      <c r="E25" s="303"/>
      <c r="F25" s="303"/>
      <c r="G25" s="303"/>
      <c r="H25" s="303"/>
      <c r="I25" s="441"/>
    </row>
    <row r="26" spans="1:9" x14ac:dyDescent="0.25">
      <c r="A26" s="7"/>
      <c r="B26" s="2"/>
      <c r="C26" s="2"/>
      <c r="D26" s="2"/>
      <c r="E26" s="2"/>
      <c r="F26" s="2"/>
      <c r="G26" s="2"/>
      <c r="H26" s="2"/>
      <c r="I26" s="6"/>
    </row>
    <row r="27" spans="1:9" x14ac:dyDescent="0.25">
      <c r="A27" s="7"/>
      <c r="B27" s="2"/>
      <c r="C27" s="2"/>
      <c r="D27" s="2"/>
      <c r="E27" s="2"/>
      <c r="F27" s="2"/>
      <c r="G27" s="2"/>
      <c r="H27" s="2"/>
      <c r="I27" s="6"/>
    </row>
    <row r="28" spans="1:9" x14ac:dyDescent="0.25">
      <c r="A28" s="7"/>
      <c r="B28" s="2"/>
      <c r="C28" s="2"/>
      <c r="D28" s="2"/>
      <c r="E28" s="2"/>
      <c r="F28" s="2"/>
      <c r="G28" s="2"/>
      <c r="H28" s="2"/>
      <c r="I28" s="6"/>
    </row>
    <row r="29" spans="1:9" x14ac:dyDescent="0.25">
      <c r="A29" s="304" t="s">
        <v>260</v>
      </c>
      <c r="B29" s="303"/>
      <c r="C29" s="303"/>
      <c r="D29" s="303"/>
      <c r="E29" s="303"/>
      <c r="F29" s="303"/>
      <c r="G29" s="303"/>
      <c r="H29" s="303"/>
      <c r="I29" s="441"/>
    </row>
    <row r="30" spans="1:9" x14ac:dyDescent="0.25">
      <c r="A30" s="7"/>
      <c r="B30" s="2"/>
      <c r="C30" s="2"/>
      <c r="D30" s="2"/>
      <c r="E30" s="2"/>
      <c r="F30" s="2"/>
      <c r="G30" s="2"/>
      <c r="H30" s="2"/>
      <c r="I30" s="6"/>
    </row>
    <row r="31" spans="1:9" ht="15.75" thickBot="1" x14ac:dyDescent="0.3">
      <c r="A31" s="9"/>
      <c r="B31" s="10"/>
      <c r="C31" s="10"/>
      <c r="D31" s="10"/>
      <c r="E31" s="10"/>
      <c r="F31" s="10"/>
      <c r="G31" s="10"/>
      <c r="H31" s="10"/>
      <c r="I31" s="11"/>
    </row>
  </sheetData>
  <mergeCells count="6">
    <mergeCell ref="A29:I29"/>
    <mergeCell ref="G1:I1"/>
    <mergeCell ref="G2:I2"/>
    <mergeCell ref="G4:I4"/>
    <mergeCell ref="A6:I6"/>
    <mergeCell ref="A25:I25"/>
  </mergeCells>
  <dataValidations count="1">
    <dataValidation type="list" allowBlank="1" showInputMessage="1" showErrorMessage="1" sqref="B10:B23" xr:uid="{00000000-0002-0000-1700-000000000000}">
      <formula1>terrains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5</vt:i4>
      </vt:variant>
    </vt:vector>
  </HeadingPairs>
  <TitlesOfParts>
    <vt:vector size="30" baseType="lpstr">
      <vt:lpstr>OEM</vt:lpstr>
      <vt:lpstr>OEM2</vt:lpstr>
      <vt:lpstr>BMM</vt:lpstr>
      <vt:lpstr>OSM</vt:lpstr>
      <vt:lpstr>BMC</vt:lpstr>
      <vt:lpstr>BAM</vt:lpstr>
      <vt:lpstr>BST</vt:lpstr>
      <vt:lpstr>LJ (2)</vt:lpstr>
      <vt:lpstr>LJ </vt:lpstr>
      <vt:lpstr>GL (1)</vt:lpstr>
      <vt:lpstr>GL (2)</vt:lpstr>
      <vt:lpstr>FS (1)</vt:lpstr>
      <vt:lpstr>FS (2)</vt:lpstr>
      <vt:lpstr>CGM</vt:lpstr>
      <vt:lpstr>CCM (2)</vt:lpstr>
      <vt:lpstr>BGC</vt:lpstr>
      <vt:lpstr>FDM</vt:lpstr>
      <vt:lpstr>FIA</vt:lpstr>
      <vt:lpstr>FIMS</vt:lpstr>
      <vt:lpstr>FUM</vt:lpstr>
      <vt:lpstr>FIB</vt:lpstr>
      <vt:lpstr>SB</vt:lpstr>
      <vt:lpstr>ST</vt:lpstr>
      <vt:lpstr>PVREFO</vt:lpstr>
      <vt:lpstr>BPB</vt:lpstr>
      <vt:lpstr>FIB!_ftn1</vt:lpstr>
      <vt:lpstr>FIB!_ftn2</vt:lpstr>
      <vt:lpstr>FIB!_ftnref1</vt:lpstr>
      <vt:lpstr>FIB!_ftnref2</vt:lpstr>
      <vt:lpstr>OEM!Zone_d_impression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TOKINAI Hodabalou</dc:creator>
  <cp:lastModifiedBy>Komlavi AMEGANDJIN</cp:lastModifiedBy>
  <cp:lastPrinted>2022-10-05T11:03:00Z</cp:lastPrinted>
  <dcterms:created xsi:type="dcterms:W3CDTF">2020-11-10T08:10:44Z</dcterms:created>
  <dcterms:modified xsi:type="dcterms:W3CDTF">2025-07-16T16:52:03Z</dcterms:modified>
</cp:coreProperties>
</file>